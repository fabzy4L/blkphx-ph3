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<sst xmlns="http://schemas.openxmlformats.org/spreadsheetml/2006/main" count="77" uniqueCount="59">
  <si>
    <t>Maintenance</t>
  </si>
  <si>
    <t>Bulk (Extra)</t>
  </si>
  <si>
    <t>BMR</t>
  </si>
  <si>
    <t>Sedentary</t>
  </si>
  <si>
    <t>Light</t>
  </si>
  <si>
    <t>Moderate</t>
  </si>
  <si>
    <t>Heavy</t>
  </si>
  <si>
    <t>PERCENT TO ADD</t>
  </si>
  <si>
    <t>BULK</t>
  </si>
  <si>
    <t>Total Cals</t>
  </si>
  <si>
    <t>Carbohydrates</t>
  </si>
  <si>
    <t>Protein</t>
  </si>
  <si>
    <t>Fats</t>
  </si>
  <si>
    <t>Calories</t>
  </si>
  <si>
    <t>Grams</t>
  </si>
  <si>
    <t>Moderate Daily</t>
  </si>
  <si>
    <t>Fill this in:</t>
  </si>
  <si>
    <t>Age*</t>
  </si>
  <si>
    <t>* required</t>
  </si>
  <si>
    <t>Height (in)*</t>
  </si>
  <si>
    <t>Current</t>
  </si>
  <si>
    <t>P Intake (1 - 1.3)</t>
  </si>
  <si>
    <t xml:space="preserve">g/lb </t>
  </si>
  <si>
    <t>Weight*</t>
  </si>
  <si>
    <t>Fat @ 60% of BW</t>
  </si>
  <si>
    <t>g</t>
  </si>
  <si>
    <t>BF%</t>
  </si>
  <si>
    <t>for better precision</t>
  </si>
  <si>
    <t>LBM</t>
  </si>
  <si>
    <t>PERCENT TO CUT DOWN</t>
  </si>
  <si>
    <t>CUT</t>
  </si>
  <si>
    <t>IIFYM Ratios</t>
  </si>
  <si>
    <t>Carbs</t>
  </si>
  <si>
    <t>Moderate Weekly</t>
  </si>
  <si>
    <t xml:space="preserve">TOTAL = </t>
  </si>
  <si>
    <t>BMR Formula</t>
  </si>
  <si>
    <t>Men: BMR = 66 + ( 6.23 x weight in pounds ) + ( 12.7 x height in inches ) - ( 6.8 x age in years )</t>
  </si>
  <si>
    <t>bmr is the least amount of calories your body requires to function properly at your current weight.</t>
  </si>
  <si>
    <t>These are the maintenance calories based on your activity level</t>
  </si>
  <si>
    <t>Sources</t>
  </si>
  <si>
    <t>Activity Factor</t>
  </si>
  <si>
    <t>(min 1 hour a day)</t>
  </si>
  <si>
    <t>choose from here</t>
  </si>
  <si>
    <t>https://health.gov/paguidelines/2008/pdf/paguide.pdf</t>
  </si>
  <si>
    <t>Sedentary (little or no exercise):</t>
  </si>
  <si>
    <t>BMR x 1.2</t>
  </si>
  <si>
    <t>https://www.hsph.harvard.edu/nutritionsource/mets-activity-table/</t>
  </si>
  <si>
    <t xml:space="preserve">Lightly active (light exercise/sports 1-3 days/week): </t>
  </si>
  <si>
    <t>BMR x 1.375</t>
  </si>
  <si>
    <t>https://www.cdc.gov/nccdphp/dnpa/physical/pdf/PA_Intensity_table_2_1.pdf</t>
  </si>
  <si>
    <t>Moderately active (moderate exercise/sports 3-5 days/week):</t>
  </si>
  <si>
    <t>BMR x 1.55</t>
  </si>
  <si>
    <t>https://www.hsph.harvard.edu/nutritionsource/2013/11/20/physical-activity-guidelines-how-much-exercise-do-you-need/</t>
  </si>
  <si>
    <t xml:space="preserve">Very active (hard exercise/sports 6-7 days a week): </t>
  </si>
  <si>
    <t>BMR x 1.725</t>
  </si>
  <si>
    <t xml:space="preserve">Extra active (very hard exercise/sports &amp; physical job or 2x training): </t>
  </si>
  <si>
    <t>BMR x 1.9</t>
  </si>
  <si>
    <t>walking at 3 to 4 miles-per-hour is considered to require 4 METs and to be a moderate-intensity activity</t>
  </si>
  <si>
    <t>MET  - METABOLIC EQUIVALENT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</si>
</sst>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sz val="10.0"/>
      <color theme="1"/>
      <name val="Arial"/>
    </font>
    <font/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1"/>
        <bgColor theme="1"/>
      </patternFill>
    </fill>
  </fills>
  <borders count="39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</border>
    <border>
      <right/>
      <top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/>
    </border>
    <border>
      <right/>
      <bottom/>
    </border>
    <border>
      <top style="medium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9" xfId="0" applyAlignment="1" applyBorder="1" applyFont="1" applyNumberFormat="1">
      <alignment horizontal="center"/>
    </xf>
    <xf borderId="6" fillId="0" fontId="1" numFmtId="9" xfId="0" applyAlignment="1" applyBorder="1" applyFont="1" applyNumberFormat="1">
      <alignment horizontal="center"/>
    </xf>
    <xf borderId="7" fillId="0" fontId="3" numFmtId="9" xfId="0" applyAlignment="1" applyBorder="1" applyFont="1" applyNumberFormat="1">
      <alignment horizontal="center"/>
    </xf>
    <xf borderId="8" fillId="0" fontId="1" numFmtId="9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2" fontId="1" numFmtId="0" xfId="0" applyAlignment="1" applyBorder="1" applyFill="1" applyFont="1">
      <alignment horizontal="center"/>
    </xf>
    <xf borderId="10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0" fillId="2" fontId="6" numFmtId="0" xfId="0" applyAlignment="1" applyBorder="1" applyFont="1">
      <alignment horizontal="center"/>
    </xf>
    <xf borderId="11" fillId="3" fontId="1" numFmtId="0" xfId="0" applyAlignment="1" applyBorder="1" applyFill="1" applyFont="1">
      <alignment horizontal="center"/>
    </xf>
    <xf borderId="12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9" numFmtId="9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ont="1">
      <alignment horizontal="center"/>
    </xf>
    <xf borderId="15" fillId="0" fontId="2" numFmtId="0" xfId="0" applyBorder="1" applyFont="1"/>
    <xf borderId="20" fillId="4" fontId="1" numFmtId="0" xfId="0" applyAlignment="1" applyBorder="1" applyFill="1" applyFont="1">
      <alignment horizontal="center"/>
    </xf>
    <xf borderId="21" fillId="0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6" fillId="4" fontId="1" numFmtId="0" xfId="0" applyAlignment="1" applyBorder="1" applyFont="1">
      <alignment horizontal="center"/>
    </xf>
    <xf borderId="5" fillId="5" fontId="9" numFmtId="0" xfId="0" applyAlignment="1" applyBorder="1" applyFill="1" applyFont="1">
      <alignment horizontal="center" readingOrder="0" shrinkToFit="0" vertical="center" wrapText="1"/>
    </xf>
    <xf borderId="1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13" fillId="4" fontId="1" numFmtId="0" xfId="0" applyAlignment="1" applyBorder="1" applyFont="1">
      <alignment horizontal="center"/>
    </xf>
    <xf borderId="9" fillId="0" fontId="2" numFmtId="0" xfId="0" applyBorder="1" applyFont="1"/>
    <xf borderId="24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21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26" fillId="0" fontId="9" numFmtId="0" xfId="0" applyAlignment="1" applyBorder="1" applyFont="1">
      <alignment horizontal="center"/>
    </xf>
    <xf borderId="27" fillId="0" fontId="9" numFmtId="0" xfId="0" applyAlignment="1" applyBorder="1" applyFont="1">
      <alignment horizontal="center"/>
    </xf>
    <xf borderId="5" fillId="0" fontId="1" numFmtId="0" xfId="0" applyAlignment="1" applyBorder="1" applyFont="1">
      <alignment horizontal="center" textRotation="45"/>
    </xf>
    <xf borderId="4" fillId="0" fontId="1" numFmtId="0" xfId="0" applyAlignment="1" applyBorder="1" applyFont="1">
      <alignment horizontal="center" vertical="center"/>
    </xf>
    <xf borderId="21" fillId="0" fontId="1" numFmtId="2" xfId="0" applyAlignment="1" applyBorder="1" applyFont="1" applyNumberFormat="1">
      <alignment horizontal="center" vertical="center"/>
    </xf>
    <xf borderId="27" fillId="0" fontId="9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28" fillId="3" fontId="9" numFmtId="0" xfId="0" applyAlignment="1" applyBorder="1" applyFont="1">
      <alignment horizontal="center"/>
    </xf>
    <xf borderId="29" fillId="3" fontId="9" numFmtId="9" xfId="0" applyAlignment="1" applyBorder="1" applyFont="1" applyNumberFormat="1">
      <alignment horizontal="center" readingOrder="0"/>
    </xf>
    <xf borderId="30" fillId="3" fontId="9" numFmtId="0" xfId="0" applyAlignment="1" applyBorder="1" applyFont="1">
      <alignment horizontal="center" vertical="center"/>
    </xf>
    <xf borderId="31" fillId="0" fontId="2" numFmtId="0" xfId="0" applyBorder="1" applyFont="1"/>
    <xf borderId="0" fillId="0" fontId="1" numFmtId="0" xfId="0" applyAlignment="1" applyFont="1">
      <alignment horizontal="center" textRotation="45" vertical="center"/>
    </xf>
    <xf borderId="0" fillId="0" fontId="1" numFmtId="0" xfId="0" applyAlignment="1" applyFont="1">
      <alignment horizontal="center" vertical="center"/>
    </xf>
    <xf borderId="0" fillId="0" fontId="1" numFmtId="9" xfId="0" applyAlignment="1" applyFont="1" applyNumberFormat="1">
      <alignment horizontal="center"/>
    </xf>
    <xf borderId="32" fillId="3" fontId="9" numFmtId="0" xfId="0" applyAlignment="1" applyBorder="1" applyFont="1">
      <alignment horizontal="center"/>
    </xf>
    <xf borderId="33" fillId="3" fontId="9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2" fillId="2" fontId="1" numFmtId="0" xfId="0" applyAlignment="1" applyBorder="1" applyFont="1">
      <alignment horizontal="center"/>
    </xf>
    <xf borderId="11" fillId="4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36" fillId="0" fontId="10" numFmtId="0" xfId="0" applyAlignment="1" applyBorder="1" applyFont="1">
      <alignment horizontal="center"/>
    </xf>
    <xf borderId="21" fillId="0" fontId="10" numFmtId="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7" fillId="0" fontId="10" numFmtId="9" xfId="0" applyAlignment="1" applyBorder="1" applyFont="1" applyNumberFormat="1">
      <alignment horizontal="center"/>
    </xf>
    <xf borderId="37" fillId="0" fontId="10" numFmtId="0" xfId="0" applyAlignment="1" applyBorder="1" applyFont="1">
      <alignment horizontal="center"/>
    </xf>
    <xf borderId="38" fillId="0" fontId="10" numFmtId="9" xfId="0" applyAlignment="1" applyBorder="1" applyFont="1" applyNumberFormat="1">
      <alignment horizontal="center" readingOrder="0"/>
    </xf>
    <xf borderId="24" fillId="0" fontId="1" numFmtId="0" xfId="0" applyAlignment="1" applyBorder="1" applyFont="1">
      <alignment horizontal="center"/>
    </xf>
    <xf borderId="25" fillId="0" fontId="1" numFmtId="9" xfId="0" applyAlignment="1" applyBorder="1" applyFont="1" applyNumberFormat="1">
      <alignment horizontal="center"/>
    </xf>
    <xf borderId="36" fillId="0" fontId="2" numFmtId="0" xfId="0" applyBorder="1" applyFont="1"/>
    <xf borderId="21" fillId="0" fontId="2" numFmtId="0" xfId="0" applyBorder="1" applyFont="1"/>
    <xf borderId="24" fillId="0" fontId="9" numFmtId="0" xfId="0" applyAlignment="1" applyBorder="1" applyFont="1">
      <alignment horizontal="center"/>
    </xf>
    <xf borderId="14" fillId="0" fontId="2" numFmtId="0" xfId="0" applyBorder="1" applyFont="1"/>
    <xf borderId="25" fillId="0" fontId="2" numFmtId="0" xfId="0" applyBorder="1" applyFont="1"/>
    <xf borderId="2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5" fillId="0" fontId="10" numFmtId="0" xfId="0" applyAlignment="1" applyBorder="1" applyFont="1">
      <alignment horizontal="left"/>
    </xf>
    <xf borderId="9" fillId="0" fontId="10" numFmtId="0" xfId="0" applyAlignment="1" applyBorder="1" applyFont="1">
      <alignment horizontal="left"/>
    </xf>
    <xf borderId="10" fillId="2" fontId="10" numFmtId="0" xfId="0" applyAlignment="1" applyBorder="1" applyFont="1">
      <alignment horizontal="left"/>
    </xf>
    <xf borderId="11" fillId="2" fontId="10" numFmtId="0" xfId="0" applyAlignment="1" applyBorder="1" applyFont="1">
      <alignment horizontal="left"/>
    </xf>
    <xf borderId="10" fillId="3" fontId="10" numFmtId="0" xfId="0" applyAlignment="1" applyBorder="1" applyFont="1">
      <alignment horizontal="left"/>
    </xf>
    <xf borderId="11" fillId="3" fontId="10" numFmtId="0" xfId="0" applyAlignment="1" applyBorder="1" applyFont="1">
      <alignment horizontal="left"/>
    </xf>
    <xf borderId="15" fillId="0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12.22"/>
    <col customWidth="1" min="3" max="7" width="10.89"/>
    <col customWidth="1" min="8" max="8" width="16.22"/>
    <col customWidth="1" min="9" max="9" width="10.89"/>
    <col customWidth="1" min="10" max="10" width="11.33"/>
    <col customWidth="1" min="11" max="12" width="10.89"/>
    <col customWidth="1" min="13" max="13" width="11.67"/>
    <col customWidth="1" min="14" max="26" width="10.89"/>
  </cols>
  <sheetData>
    <row r="1">
      <c r="A1" s="1"/>
      <c r="B1" s="2" t="s">
        <v>0</v>
      </c>
      <c r="C1" s="2" t="s">
        <v>1</v>
      </c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>
        <v>1.0</v>
      </c>
      <c r="C2" s="8">
        <v>0.05</v>
      </c>
      <c r="D2" s="9">
        <v>0.1</v>
      </c>
      <c r="E2" s="10">
        <v>0.15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2</v>
      </c>
      <c r="B3" s="12">
        <f>B26</f>
        <v>2044.498</v>
      </c>
      <c r="C3" s="6">
        <f t="shared" ref="C3:C7" si="1">B3*(1+$C$2)</f>
        <v>2146.7229</v>
      </c>
      <c r="D3" s="13">
        <f t="shared" ref="D3:D7" si="2">B3*(1+$D$2)</f>
        <v>2248.9478</v>
      </c>
      <c r="E3" s="6">
        <f t="shared" ref="E3:E7" si="3">B3*(1+$E$2)</f>
        <v>2351.1727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4" t="s">
        <v>3</v>
      </c>
      <c r="B4" s="2">
        <v>2400.0</v>
      </c>
      <c r="C4" s="11">
        <f t="shared" si="1"/>
        <v>2520</v>
      </c>
      <c r="D4" s="15">
        <f t="shared" si="2"/>
        <v>2640</v>
      </c>
      <c r="E4" s="11">
        <f t="shared" si="3"/>
        <v>2760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6" t="s">
        <v>4</v>
      </c>
      <c r="B5" s="17">
        <v>2800.0</v>
      </c>
      <c r="C5" s="18">
        <f t="shared" si="1"/>
        <v>2940</v>
      </c>
      <c r="D5" s="19">
        <f t="shared" si="2"/>
        <v>3080</v>
      </c>
      <c r="E5" s="18">
        <f t="shared" si="3"/>
        <v>3220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0" t="s">
        <v>5</v>
      </c>
      <c r="B6" s="21">
        <v>3100.0</v>
      </c>
      <c r="C6" s="22">
        <f t="shared" si="1"/>
        <v>3255</v>
      </c>
      <c r="D6" s="23">
        <f t="shared" si="2"/>
        <v>3410</v>
      </c>
      <c r="E6" s="22">
        <f t="shared" si="3"/>
        <v>3565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6</v>
      </c>
      <c r="B7" s="24">
        <v>3500.0</v>
      </c>
      <c r="C7" s="25">
        <f t="shared" si="1"/>
        <v>3675</v>
      </c>
      <c r="D7" s="26">
        <f t="shared" si="2"/>
        <v>3850</v>
      </c>
      <c r="E7" s="25">
        <f t="shared" si="3"/>
        <v>4025</v>
      </c>
      <c r="F7" s="5"/>
      <c r="G7" s="27" t="s">
        <v>7</v>
      </c>
      <c r="H7" s="28" t="s">
        <v>8</v>
      </c>
      <c r="I7" s="29" t="s">
        <v>9</v>
      </c>
      <c r="J7" s="30" t="s">
        <v>10</v>
      </c>
      <c r="K7" s="31"/>
      <c r="L7" s="30" t="s">
        <v>11</v>
      </c>
      <c r="M7" s="32"/>
      <c r="N7" s="33" t="s">
        <v>12</v>
      </c>
      <c r="O7" s="31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34"/>
      <c r="H8" s="28">
        <v>0.1</v>
      </c>
      <c r="I8" s="34"/>
      <c r="J8" s="35" t="s">
        <v>13</v>
      </c>
      <c r="K8" s="36" t="s">
        <v>14</v>
      </c>
      <c r="L8" s="37" t="s">
        <v>13</v>
      </c>
      <c r="M8" s="6" t="s">
        <v>14</v>
      </c>
      <c r="N8" s="38" t="s">
        <v>13</v>
      </c>
      <c r="O8" s="36" t="s">
        <v>14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39"/>
      <c r="H9" s="40"/>
      <c r="I9" s="40"/>
      <c r="J9" s="38"/>
      <c r="K9" s="41"/>
      <c r="L9" s="42"/>
      <c r="M9" s="38"/>
      <c r="N9" s="40"/>
      <c r="O9" s="38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43"/>
      <c r="H10" s="44" t="s">
        <v>15</v>
      </c>
      <c r="I10" s="44">
        <f>B29*(1+H8)</f>
        <v>3485.86909</v>
      </c>
      <c r="J10" s="11">
        <f>I10*C18</f>
        <v>1742.934545</v>
      </c>
      <c r="K10" s="45">
        <f>J10/5</f>
        <v>348.586909</v>
      </c>
      <c r="L10" s="46">
        <f>I10*C20</f>
        <v>697.173818</v>
      </c>
      <c r="M10" s="25">
        <f>L10/4</f>
        <v>174.2934545</v>
      </c>
      <c r="N10" s="44">
        <f>I10*C19</f>
        <v>1045.760727</v>
      </c>
      <c r="O10" s="25">
        <f>N10/9</f>
        <v>116.1956363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16</v>
      </c>
      <c r="B11" s="5"/>
      <c r="C11" s="5"/>
      <c r="D11" s="5"/>
      <c r="E11" s="5"/>
      <c r="F11" s="5"/>
      <c r="G11" s="34"/>
      <c r="H11" s="2"/>
      <c r="I11" s="11"/>
      <c r="J11" s="46"/>
      <c r="K11" s="11"/>
      <c r="L11" s="46"/>
      <c r="M11" s="11"/>
      <c r="N11" s="46"/>
      <c r="O11" s="11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7" t="s">
        <v>17</v>
      </c>
      <c r="B12" s="48">
        <v>31.0</v>
      </c>
      <c r="C12" s="49"/>
      <c r="D12" s="49" t="s">
        <v>18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0" t="s">
        <v>19</v>
      </c>
      <c r="B13" s="51">
        <v>73.0</v>
      </c>
      <c r="C13" s="49"/>
      <c r="D13" s="49"/>
      <c r="E13" s="5"/>
      <c r="F13" s="5"/>
      <c r="G13" s="5"/>
      <c r="H13" s="5"/>
      <c r="I13" s="5"/>
      <c r="J13" s="5"/>
      <c r="K13" s="52" t="s">
        <v>20</v>
      </c>
      <c r="L13" s="53" t="s">
        <v>21</v>
      </c>
      <c r="M13" s="54">
        <f>$M$10/$B$16</f>
        <v>0.9888317079</v>
      </c>
      <c r="N13" s="5" t="s">
        <v>22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0" t="s">
        <v>23</v>
      </c>
      <c r="B14" s="55">
        <v>202.6</v>
      </c>
      <c r="C14" s="49"/>
      <c r="D14" s="49"/>
      <c r="E14" s="5"/>
      <c r="F14" s="5"/>
      <c r="G14" s="5"/>
      <c r="H14" s="5"/>
      <c r="I14" s="5"/>
      <c r="J14" s="5"/>
      <c r="K14" s="34"/>
      <c r="L14" s="56" t="s">
        <v>24</v>
      </c>
      <c r="M14" s="57">
        <f>B14*0.6</f>
        <v>121.56</v>
      </c>
      <c r="N14" s="5" t="s">
        <v>25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8" t="s">
        <v>26</v>
      </c>
      <c r="B15" s="59">
        <v>0.13</v>
      </c>
      <c r="C15" s="60" t="s">
        <v>27</v>
      </c>
      <c r="D15" s="61"/>
      <c r="E15" s="5"/>
      <c r="F15" s="5"/>
      <c r="G15" s="5"/>
      <c r="H15" s="5"/>
      <c r="I15" s="5"/>
      <c r="J15" s="5"/>
      <c r="K15" s="62"/>
      <c r="L15" s="63"/>
      <c r="M15" s="6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5" t="s">
        <v>28</v>
      </c>
      <c r="B16" s="66">
        <f>B14*(1-B15)</f>
        <v>176.262</v>
      </c>
      <c r="C16" s="67"/>
      <c r="D16" s="68"/>
      <c r="E16" s="5"/>
      <c r="F16" s="5"/>
      <c r="G16" s="27" t="s">
        <v>29</v>
      </c>
      <c r="H16" s="28" t="s">
        <v>30</v>
      </c>
      <c r="I16" s="29" t="s">
        <v>9</v>
      </c>
      <c r="J16" s="69" t="s">
        <v>10</v>
      </c>
      <c r="K16" s="4"/>
      <c r="L16" s="69" t="s">
        <v>11</v>
      </c>
      <c r="M16" s="4"/>
      <c r="N16" s="69" t="s">
        <v>12</v>
      </c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34"/>
      <c r="H17" s="28">
        <v>0.1</v>
      </c>
      <c r="I17" s="43"/>
      <c r="J17" s="70" t="s">
        <v>13</v>
      </c>
      <c r="K17" s="12" t="s">
        <v>14</v>
      </c>
      <c r="L17" s="70" t="s">
        <v>13</v>
      </c>
      <c r="M17" s="12" t="s">
        <v>14</v>
      </c>
      <c r="N17" s="70" t="s">
        <v>13</v>
      </c>
      <c r="O17" s="71" t="s">
        <v>14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2" t="s">
        <v>31</v>
      </c>
      <c r="B18" s="73" t="s">
        <v>32</v>
      </c>
      <c r="C18" s="74">
        <v>0.5</v>
      </c>
      <c r="D18" s="5"/>
      <c r="E18" s="5"/>
      <c r="F18" s="5"/>
      <c r="G18" s="39"/>
      <c r="H18" s="2"/>
      <c r="I18" s="11"/>
      <c r="J18" s="11"/>
      <c r="K18" s="46"/>
      <c r="L18" s="11"/>
      <c r="M18" s="46"/>
      <c r="N18" s="11"/>
      <c r="O18" s="7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6"/>
      <c r="B19" s="49" t="s">
        <v>12</v>
      </c>
      <c r="C19" s="77">
        <v>0.3</v>
      </c>
      <c r="D19" s="5"/>
      <c r="E19" s="5"/>
      <c r="F19" s="5"/>
      <c r="G19" s="43"/>
      <c r="H19" s="44" t="s">
        <v>33</v>
      </c>
      <c r="I19" s="25">
        <f>B29*(1-H17)</f>
        <v>2852.07471</v>
      </c>
      <c r="J19" s="11">
        <f>I19*$C$18</f>
        <v>1426.037355</v>
      </c>
      <c r="K19" s="24">
        <f>J19/5</f>
        <v>285.207471</v>
      </c>
      <c r="L19" s="25">
        <f>I19*0.4</f>
        <v>1140.829884</v>
      </c>
      <c r="M19" s="24">
        <f>L19/4</f>
        <v>285.207471</v>
      </c>
      <c r="N19" s="25">
        <f>I19*0.3</f>
        <v>855.622413</v>
      </c>
      <c r="O19" s="45">
        <f>N19/9</f>
        <v>95.069157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6"/>
      <c r="B20" s="78" t="s">
        <v>11</v>
      </c>
      <c r="C20" s="79">
        <v>0.2</v>
      </c>
      <c r="D20" s="5"/>
      <c r="E20" s="5"/>
      <c r="F20" s="5"/>
      <c r="G20" s="34"/>
      <c r="H20" s="44"/>
      <c r="I20" s="25"/>
      <c r="J20" s="24"/>
      <c r="K20" s="25"/>
      <c r="L20" s="24"/>
      <c r="M20" s="25"/>
      <c r="N20" s="24"/>
      <c r="O20" s="2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0"/>
      <c r="B21" s="24" t="s">
        <v>34</v>
      </c>
      <c r="C21" s="81">
        <f>C18+C19+C20</f>
        <v>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7" t="s">
        <v>35</v>
      </c>
      <c r="B23" s="82"/>
      <c r="C23" s="82"/>
      <c r="D23" s="82"/>
      <c r="E23" s="82"/>
      <c r="F23" s="8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4" t="s">
        <v>36</v>
      </c>
      <c r="B24" s="85"/>
      <c r="C24" s="85"/>
      <c r="D24" s="85"/>
      <c r="E24" s="85"/>
      <c r="F24" s="8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9"/>
      <c r="B25" s="49"/>
      <c r="C25" s="49"/>
      <c r="D25" s="49"/>
      <c r="E25" s="49"/>
      <c r="F25" s="4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7" t="s">
        <v>2</v>
      </c>
      <c r="B26" s="88">
        <f>66 + (6.23*B14) + (12.7*B13) - (6.8*B12)</f>
        <v>2044.498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9" t="s">
        <v>37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7" t="s">
        <v>13</v>
      </c>
      <c r="B29" s="88">
        <f>B26*H37</f>
        <v>3168.9719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9" t="s">
        <v>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 t="s">
        <v>39</v>
      </c>
      <c r="K33" s="90"/>
      <c r="L33" s="90"/>
      <c r="M33" s="9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1" t="s">
        <v>40</v>
      </c>
      <c r="D34" s="92" t="s">
        <v>41</v>
      </c>
      <c r="E34" s="92"/>
      <c r="F34" s="92"/>
      <c r="G34" s="92"/>
      <c r="H34" s="93" t="s">
        <v>42</v>
      </c>
      <c r="I34" s="90"/>
      <c r="J34" s="90" t="s">
        <v>43</v>
      </c>
      <c r="K34" s="90"/>
      <c r="L34" s="90"/>
      <c r="M34" s="9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2" t="s">
        <v>44</v>
      </c>
      <c r="B35" s="92"/>
      <c r="C35" s="92"/>
      <c r="D35" s="92"/>
      <c r="E35" s="92"/>
      <c r="F35" s="92" t="s">
        <v>45</v>
      </c>
      <c r="G35" s="92"/>
      <c r="H35" s="94">
        <v>1.2</v>
      </c>
      <c r="I35" s="90"/>
      <c r="J35" s="90" t="s">
        <v>46</v>
      </c>
      <c r="K35" s="90"/>
      <c r="L35" s="90"/>
      <c r="M35" s="9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5" t="s">
        <v>47</v>
      </c>
      <c r="B36" s="95"/>
      <c r="C36" s="95"/>
      <c r="D36" s="95"/>
      <c r="E36" s="95"/>
      <c r="F36" s="95" t="s">
        <v>48</v>
      </c>
      <c r="G36" s="95"/>
      <c r="H36" s="96">
        <v>1.375</v>
      </c>
      <c r="I36" s="90"/>
      <c r="J36" s="90" t="s">
        <v>49</v>
      </c>
      <c r="K36" s="90"/>
      <c r="L36" s="90"/>
      <c r="M36" s="9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7" t="s">
        <v>50</v>
      </c>
      <c r="B37" s="97"/>
      <c r="C37" s="97"/>
      <c r="D37" s="97"/>
      <c r="E37" s="97"/>
      <c r="F37" s="97" t="s">
        <v>51</v>
      </c>
      <c r="G37" s="97"/>
      <c r="H37" s="98">
        <v>1.55</v>
      </c>
      <c r="I37" s="90"/>
      <c r="J37" s="90" t="s">
        <v>52</v>
      </c>
      <c r="K37" s="90"/>
      <c r="L37" s="90"/>
      <c r="M37" s="9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2" t="s">
        <v>53</v>
      </c>
      <c r="B38" s="92"/>
      <c r="C38" s="92"/>
      <c r="D38" s="92"/>
      <c r="E38" s="92"/>
      <c r="F38" s="92" t="s">
        <v>54</v>
      </c>
      <c r="G38" s="92"/>
      <c r="H38" s="94">
        <v>1.725</v>
      </c>
      <c r="I38" s="90"/>
      <c r="J38" s="90"/>
      <c r="K38" s="90"/>
      <c r="L38" s="90"/>
      <c r="M38" s="9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2" t="s">
        <v>55</v>
      </c>
      <c r="B39" s="92"/>
      <c r="C39" s="92"/>
      <c r="D39" s="92"/>
      <c r="E39" s="92"/>
      <c r="F39" s="92" t="s">
        <v>56</v>
      </c>
      <c r="G39" s="92"/>
      <c r="H39" s="99">
        <v>1.9</v>
      </c>
      <c r="I39" s="90"/>
      <c r="J39" s="90"/>
      <c r="K39" s="90"/>
      <c r="L39" s="90"/>
      <c r="M39" s="9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2"/>
      <c r="B40" s="92"/>
      <c r="C40" s="92"/>
      <c r="D40" s="92"/>
      <c r="E40" s="92"/>
      <c r="F40" s="92"/>
      <c r="G40" s="92"/>
      <c r="H40" s="90"/>
      <c r="I40" s="90"/>
      <c r="J40" s="90"/>
      <c r="K40" s="90"/>
      <c r="L40" s="90"/>
      <c r="M40" s="90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2"/>
      <c r="B41" s="92"/>
      <c r="C41" s="92"/>
      <c r="D41" s="92"/>
      <c r="E41" s="92"/>
      <c r="F41" s="92"/>
      <c r="G41" s="92"/>
      <c r="H41" s="90"/>
      <c r="I41" s="90"/>
      <c r="J41" s="90"/>
      <c r="K41" s="90"/>
      <c r="L41" s="90"/>
      <c r="M41" s="90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2" t="s">
        <v>57</v>
      </c>
      <c r="B42" s="92"/>
      <c r="C42" s="92"/>
      <c r="D42" s="92"/>
      <c r="E42" s="92"/>
      <c r="F42" s="92"/>
      <c r="G42" s="92"/>
      <c r="H42" s="90"/>
      <c r="I42" s="90"/>
      <c r="J42" s="90"/>
      <c r="K42" s="90"/>
      <c r="L42" s="90"/>
      <c r="M42" s="9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0"/>
      <c r="B44" s="90"/>
      <c r="C44" s="90"/>
      <c r="D44" s="90"/>
      <c r="E44" s="90"/>
      <c r="F44" s="90" t="s">
        <v>58</v>
      </c>
      <c r="G44" s="90"/>
      <c r="H44" s="90"/>
      <c r="I44" s="90"/>
      <c r="J44" s="90"/>
      <c r="K44" s="90"/>
      <c r="L44" s="90"/>
      <c r="M44" s="90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8">
    <mergeCell ref="C1:E1"/>
    <mergeCell ref="G7:G8"/>
    <mergeCell ref="I7:I8"/>
    <mergeCell ref="J7:K7"/>
    <mergeCell ref="L7:M7"/>
    <mergeCell ref="N7:O7"/>
    <mergeCell ref="G9:G11"/>
    <mergeCell ref="G18:G20"/>
    <mergeCell ref="A23:F23"/>
    <mergeCell ref="A24:F24"/>
    <mergeCell ref="A34:B34"/>
    <mergeCell ref="K13:K14"/>
    <mergeCell ref="C15:D16"/>
    <mergeCell ref="G16:G17"/>
    <mergeCell ref="I16:I17"/>
    <mergeCell ref="J16:K16"/>
    <mergeCell ref="L16:M16"/>
    <mergeCell ref="N16:O16"/>
  </mergeCells>
  <printOptions/>
  <pageMargins bottom="1.0" footer="0.0" header="0.0" left="0.75" right="0.75" top="1.0"/>
  <pageSetup orientation="portrait"/>
  <drawing r:id="rId1"/>
</worksheet>
</file>