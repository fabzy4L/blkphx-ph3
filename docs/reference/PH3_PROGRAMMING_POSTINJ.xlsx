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Inputs" sheetId="1" r:id="rId4"/>
    <sheet state="visible" name="Accumulation Block" sheetId="2" r:id="rId5"/>
    <sheet state="visible" name="Intermediate Block" sheetId="3" r:id="rId6"/>
    <sheet state="visible" name="Intensity Block" sheetId="4" r:id="rId7"/>
    <sheet state="visible" name="Taper (Final Week)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0">
      <text>
        <t xml:space="preserve">30 seconds of rest in between sets</t>
      </text>
    </comment>
    <comment authorId="0" ref="N20">
      <text>
        <t xml:space="preserve">30 seconds of rest in between sets</t>
      </text>
    </comment>
    <comment authorId="0" ref="AA20">
      <text>
        <t xml:space="preserve">30 seconds of rest in between sets</t>
      </text>
    </comment>
    <comment authorId="0" ref="A22">
      <text>
        <t xml:space="preserve">30 seconds of rest in between sets</t>
      </text>
    </comment>
    <comment authorId="0" ref="N22">
      <text>
        <t xml:space="preserve">30 seconds of rest in between sets</t>
      </text>
    </comment>
    <comment authorId="0" ref="AA22">
      <text>
        <t xml:space="preserve">30 seconds of rest in between sets</t>
      </text>
    </comment>
    <comment authorId="0" ref="AN23">
      <text>
        <t xml:space="preserve">30 seconds of rest in between sets</t>
      </text>
    </comment>
    <comment authorId="0" ref="AN25">
      <text>
        <t xml:space="preserve">30 seconds of rest in between sets</t>
      </text>
    </comment>
    <comment authorId="0" ref="A32">
      <text>
        <t xml:space="preserve">30 seconds of rest in between sets</t>
      </text>
    </comment>
    <comment authorId="0" ref="N32">
      <text>
        <t xml:space="preserve">30 seconds of rest in between sets</t>
      </text>
    </comment>
    <comment authorId="0" ref="AA32">
      <text>
        <t xml:space="preserve">30 seconds of rest in between sets</t>
      </text>
    </comment>
    <comment authorId="0" ref="A44">
      <text>
        <t xml:space="preserve">30 seconds of rest in between sets</t>
      </text>
    </comment>
    <comment authorId="0" ref="N44">
      <text>
        <t xml:space="preserve">30 seconds of rest in between sets</t>
      </text>
    </comment>
    <comment authorId="0" ref="AA44">
      <text>
        <t xml:space="preserve">30 seconds of rest in between sets</t>
      </text>
    </comment>
    <comment authorId="0" ref="A46">
      <text>
        <t xml:space="preserve">30 seconds of rest in between sets</t>
      </text>
    </comment>
    <comment authorId="0" ref="N46">
      <text>
        <t xml:space="preserve">30 seconds of rest in between sets</t>
      </text>
    </comment>
    <comment authorId="0" ref="AA46">
      <text>
        <t xml:space="preserve">30 seconds of rest in between sets</t>
      </text>
    </comment>
    <comment authorId="0" ref="A56">
      <text>
        <t xml:space="preserve">30 seconds of rest in between sets</t>
      </text>
    </comment>
    <comment authorId="0" ref="N56">
      <text>
        <t xml:space="preserve">30 seconds of rest in between sets</t>
      </text>
    </comment>
    <comment authorId="0" ref="AA56">
      <text>
        <t xml:space="preserve">30 seconds of rest in between sets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0">
      <text>
        <t xml:space="preserve">30 seconds of rest in between sets</t>
      </text>
    </comment>
    <comment authorId="0" ref="N20">
      <text>
        <t xml:space="preserve">30 seconds of rest in between sets</t>
      </text>
    </comment>
    <comment authorId="0" ref="AA20">
      <text>
        <t xml:space="preserve">30 seconds of rest in between sets</t>
      </text>
    </comment>
    <comment authorId="0" ref="A22">
      <text>
        <t xml:space="preserve">30 seconds of rest in between sets</t>
      </text>
    </comment>
    <comment authorId="0" ref="N22">
      <text>
        <t xml:space="preserve">30 seconds of rest in between sets</t>
      </text>
    </comment>
    <comment authorId="0" ref="AA22">
      <text>
        <t xml:space="preserve">30 seconds of rest in between sets</t>
      </text>
    </comment>
    <comment authorId="0" ref="AN23">
      <text>
        <t xml:space="preserve">30 seconds of rest in between sets</t>
      </text>
    </comment>
    <comment authorId="0" ref="AN25">
      <text>
        <t xml:space="preserve">30 seconds of rest in between sets</t>
      </text>
    </comment>
    <comment authorId="0" ref="A32">
      <text>
        <t xml:space="preserve">30 seconds of rest in between sets</t>
      </text>
    </comment>
    <comment authorId="0" ref="N32">
      <text>
        <t xml:space="preserve">30 seconds of rest in between sets</t>
      </text>
    </comment>
    <comment authorId="0" ref="AA32">
      <text>
        <t xml:space="preserve">30 seconds of rest in between sets</t>
      </text>
    </comment>
    <comment authorId="0" ref="A44">
      <text>
        <t xml:space="preserve">30 seconds of rest in between sets</t>
      </text>
    </comment>
    <comment authorId="0" ref="N44">
      <text>
        <t xml:space="preserve">30 seconds of rest in between sets</t>
      </text>
    </comment>
    <comment authorId="0" ref="AA44">
      <text>
        <t xml:space="preserve">30 seconds of rest in between sets</t>
      </text>
    </comment>
    <comment authorId="0" ref="A46">
      <text>
        <t xml:space="preserve">30 seconds of rest in between sets</t>
      </text>
    </comment>
    <comment authorId="0" ref="N46">
      <text>
        <t xml:space="preserve">30 seconds of rest in between sets</t>
      </text>
    </comment>
    <comment authorId="0" ref="AA46">
      <text>
        <t xml:space="preserve">30 seconds of rest in between sets</t>
      </text>
    </comment>
    <comment authorId="0" ref="A56">
      <text>
        <t xml:space="preserve">30 seconds of rest in between sets</t>
      </text>
    </comment>
    <comment authorId="0" ref="N56">
      <text>
        <t xml:space="preserve">30 seconds of rest in between sets</t>
      </text>
    </comment>
    <comment authorId="0" ref="AA56">
      <text>
        <t xml:space="preserve">30 seconds of rest in between sets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0">
      <text>
        <t xml:space="preserve">30 seconds of rest in between sets</t>
      </text>
    </comment>
    <comment authorId="0" ref="N20">
      <text>
        <t xml:space="preserve">30 seconds of rest in between sets</t>
      </text>
    </comment>
    <comment authorId="0" ref="AA20">
      <text>
        <t xml:space="preserve">30 seconds of rest in between sets</t>
      </text>
    </comment>
    <comment authorId="0" ref="AN20">
      <text>
        <t xml:space="preserve">30 seconds of rest in between sets</t>
      </text>
    </comment>
    <comment authorId="0" ref="A22">
      <text>
        <t xml:space="preserve">30 seconds of rest in between sets</t>
      </text>
    </comment>
    <comment authorId="0" ref="N22">
      <text>
        <t xml:space="preserve">30 seconds of rest in between sets</t>
      </text>
    </comment>
    <comment authorId="0" ref="AA22">
      <text>
        <t xml:space="preserve">30 seconds of rest in between sets</t>
      </text>
    </comment>
    <comment authorId="0" ref="AN22">
      <text>
        <t xml:space="preserve">30 seconds of rest in between sets</t>
      </text>
    </comment>
    <comment authorId="0" ref="A32">
      <text>
        <t xml:space="preserve">30 seconds of rest in between sets</t>
      </text>
    </comment>
    <comment authorId="0" ref="N32">
      <text>
        <t xml:space="preserve">30 seconds of rest in between sets</t>
      </text>
    </comment>
    <comment authorId="0" ref="AA32">
      <text>
        <t xml:space="preserve">30 seconds of rest in between sets</t>
      </text>
    </comment>
    <comment authorId="0" ref="AN32">
      <text>
        <t xml:space="preserve">30 seconds of rest in between sets</t>
      </text>
    </comment>
    <comment authorId="0" ref="A44">
      <text>
        <t xml:space="preserve">30 seconds of rest in between sets</t>
      </text>
    </comment>
    <comment authorId="0" ref="N44">
      <text>
        <t xml:space="preserve">30 seconds of rest in between sets</t>
      </text>
    </comment>
    <comment authorId="0" ref="AA44">
      <text>
        <t xml:space="preserve">30 seconds of rest in between sets</t>
      </text>
    </comment>
    <comment authorId="0" ref="AN44">
      <text>
        <t xml:space="preserve">30 seconds of rest in between sets</t>
      </text>
    </comment>
    <comment authorId="0" ref="A46">
      <text>
        <t xml:space="preserve">30 seconds of rest in between sets</t>
      </text>
    </comment>
    <comment authorId="0" ref="N46">
      <text>
        <t xml:space="preserve">30 seconds of rest in between sets</t>
      </text>
    </comment>
    <comment authorId="0" ref="AN46">
      <text>
        <t xml:space="preserve">30 seconds of rest in between sets</t>
      </text>
    </comment>
    <comment authorId="0" ref="A56">
      <text>
        <t xml:space="preserve">30 seconds of rest in between sets</t>
      </text>
    </comment>
    <comment authorId="0" ref="N56">
      <text>
        <t xml:space="preserve">30 seconds of rest in between sets</t>
      </text>
    </comment>
    <comment authorId="0" ref="AA56">
      <text>
        <t xml:space="preserve">30 seconds of rest in between sets</t>
      </text>
    </comment>
    <comment authorId="0" ref="AN56">
      <text>
        <t xml:space="preserve">30 seconds of rest in between sets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">
      <text>
        <t xml:space="preserve">30 seconds rest in between sets</t>
      </text>
    </comment>
    <comment authorId="0" ref="A25">
      <text>
        <t xml:space="preserve">30 seconds rest in between sets</t>
      </text>
    </comment>
  </commentList>
</comments>
</file>

<file path=xl/sharedStrings.xml><?xml version="1.0" encoding="utf-8"?>
<sst xmlns="http://schemas.openxmlformats.org/spreadsheetml/2006/main" count="2711" uniqueCount="269">
  <si>
    <t>LAYNE NORTON'S PH3 PROGRAM</t>
  </si>
  <si>
    <t>MAX WEIGHT CALCULATOR</t>
  </si>
  <si>
    <t>lb</t>
  </si>
  <si>
    <t>For the following cells, please enter your most recent 1RM for</t>
  </si>
  <si>
    <t>kg</t>
  </si>
  <si>
    <t>the squat, bench press, and deadlift</t>
  </si>
  <si>
    <t>What is your weight tracked in (lb or kg)?</t>
  </si>
  <si>
    <t>Squat</t>
  </si>
  <si>
    <t>Bench Press</t>
  </si>
  <si>
    <t>Deadlift</t>
  </si>
  <si>
    <t>Exercises labeled with "RIR" means you should choose a weight so you have</t>
  </si>
  <si>
    <t>the listed number of reps left in the tank (Repetitions in Reserve)</t>
  </si>
  <si>
    <t>Exercises labeled with "BFR" are lighter weight</t>
  </si>
  <si>
    <t>exercises with Blood Flow Restriction</t>
  </si>
  <si>
    <t>All credit for this program goes to Dr. Layne Norton</t>
  </si>
  <si>
    <t>This excel file is merely a way to make the program easily accessible</t>
  </si>
  <si>
    <t>ACCUMULATION BLOCK</t>
  </si>
  <si>
    <t>ENTER WEIGHT BELOW</t>
  </si>
  <si>
    <t>Squat:</t>
  </si>
  <si>
    <t>*Enter weight from the chart under Week 2</t>
  </si>
  <si>
    <t>*Enter weight from the chart under Week 3</t>
  </si>
  <si>
    <t>Bench:</t>
  </si>
  <si>
    <t xml:space="preserve"> to calculate numbers for Week 3</t>
  </si>
  <si>
    <t xml:space="preserve"> to calculate numbers for Week 4</t>
  </si>
  <si>
    <t>Week 1</t>
  </si>
  <si>
    <t>Week 2</t>
  </si>
  <si>
    <t>Week 3</t>
  </si>
  <si>
    <t>Deadlift:</t>
  </si>
  <si>
    <t>Week 4</t>
  </si>
  <si>
    <t>Day 1 (Squat, Bench, Deadlift)</t>
  </si>
  <si>
    <t>Set 1</t>
  </si>
  <si>
    <t>Set 2</t>
  </si>
  <si>
    <t>Set 3</t>
  </si>
  <si>
    <t>Set 4</t>
  </si>
  <si>
    <t>Set 5</t>
  </si>
  <si>
    <t>Day 8 (Squat, Bench, Deadlift)</t>
  </si>
  <si>
    <t>Day 15 (Squat, Bench, Deadlift)</t>
  </si>
  <si>
    <t>Day 22 (Squat, Bench, Deadlift)</t>
  </si>
  <si>
    <t>Warm Up</t>
  </si>
  <si>
    <t>x9</t>
  </si>
  <si>
    <t>x4</t>
  </si>
  <si>
    <t>x7</t>
  </si>
  <si>
    <t>Day 2 (Upper Hypertrophy)</t>
  </si>
  <si>
    <t>Day 9 (Upper Hypertrophy)</t>
  </si>
  <si>
    <t>Day 16 (Upper Hypertrophy)</t>
  </si>
  <si>
    <t>Day 23 (Full-Body Hypertrophy)</t>
  </si>
  <si>
    <t>Flat/Incline Dumbbell Press (3RIR)</t>
  </si>
  <si>
    <t>x6-8</t>
  </si>
  <si>
    <t>Leg Extension (3RIR)</t>
  </si>
  <si>
    <t>x8-10</t>
  </si>
  <si>
    <t>Lat Pull-down/Weighted Pull-up (2RIR)</t>
  </si>
  <si>
    <t>Leg Curl (3RIR)</t>
  </si>
  <si>
    <t>T-Bar Row/Machine Row (2RIR)</t>
  </si>
  <si>
    <t>Calf Raise (1RIR)</t>
  </si>
  <si>
    <t>Seated Military Press (3RIR)</t>
  </si>
  <si>
    <t>x5-7</t>
  </si>
  <si>
    <t>Dumbbell/EZ-Bar Curl (1RIR)</t>
  </si>
  <si>
    <t>BFR Machine Bicep Curl</t>
  </si>
  <si>
    <t>x20</t>
  </si>
  <si>
    <t>x10</t>
  </si>
  <si>
    <t>EZ-Bar Skullcrusher/Tricep Push-down (1RIR)</t>
  </si>
  <si>
    <t>BFR Skullcrusher/Cable Tricep Push-down</t>
  </si>
  <si>
    <t>Dumbbell/EZ-Bar Curl</t>
  </si>
  <si>
    <t>Day 3 (Squat, Bench, Legs)</t>
  </si>
  <si>
    <t>Day 10 (Squat, Bench, Legs)</t>
  </si>
  <si>
    <t>Day 17 (Squat, Bench, Legs)</t>
  </si>
  <si>
    <t>Day 24 (Squat, Bench, Deadlift)</t>
  </si>
  <si>
    <t>Leg Curl (3 RIR)</t>
  </si>
  <si>
    <t>x5</t>
  </si>
  <si>
    <t>Reverse Hyperextension (Optional)</t>
  </si>
  <si>
    <t>x10-15</t>
  </si>
  <si>
    <t>Ukrainian Stallion (Optional)</t>
  </si>
  <si>
    <t>x15-20</t>
  </si>
  <si>
    <t>BFR Calf Raise</t>
  </si>
  <si>
    <t>Day 25 (Rest/Active Recovery)</t>
  </si>
  <si>
    <t>Day 4 (Rest/Active Recovery)</t>
  </si>
  <si>
    <t>Day 11 (Rest/Active Recovery)</t>
  </si>
  <si>
    <t>Day 18 (Rest/Active Recovery)</t>
  </si>
  <si>
    <t>Day 26 (Rest/Active Recovery)</t>
  </si>
  <si>
    <t>Day 5 (Deadlift, Bench, Upper-Body)</t>
  </si>
  <si>
    <t>Day 12 (Deadlift, Bench, Upper-Body)</t>
  </si>
  <si>
    <t>Day 19 (Deadlift, Bench, Upper-Body)</t>
  </si>
  <si>
    <t>Day 27 (Rep Test)</t>
  </si>
  <si>
    <t>Deadlift (AMRAP Set 3)</t>
  </si>
  <si>
    <t>AMRAP</t>
  </si>
  <si>
    <t>Deadlift (AMRAP Final Set)</t>
  </si>
  <si>
    <t>x3</t>
  </si>
  <si>
    <t>Bench Press (AMRAP Set 4)</t>
  </si>
  <si>
    <t>Bench Press (AMRAP Final Set)</t>
  </si>
  <si>
    <t>Pec-Deck Fly/Cable Crossover (3RIR)</t>
  </si>
  <si>
    <t>x12-15</t>
  </si>
  <si>
    <t>Cable/Machine Lat Pull-Down (2RIR)</t>
  </si>
  <si>
    <t>Dumbbell/Machine Row (2RIR)</t>
  </si>
  <si>
    <t>Day 28 (Rest)</t>
  </si>
  <si>
    <t>Lateral Raise (2RIR)</t>
  </si>
  <si>
    <t>Machine Preacher/Concentration Curl (1RIR)</t>
  </si>
  <si>
    <t>BFR Machine Bicep Curl (2 Cluster Sets)</t>
  </si>
  <si>
    <t>x30</t>
  </si>
  <si>
    <t>x15</t>
  </si>
  <si>
    <t>Estimated 1RMs for Intermediate Block</t>
  </si>
  <si>
    <t>Cable Tricep Push-down (1RIR)</t>
  </si>
  <si>
    <t>BFR Tricep Push-down (2 Cluster Sets)</t>
  </si>
  <si>
    <t># of Reps</t>
  </si>
  <si>
    <t>1-4</t>
  </si>
  <si>
    <t>6-7</t>
  </si>
  <si>
    <t>8+</t>
  </si>
  <si>
    <t>SQUAT</t>
  </si>
  <si>
    <t>Day 6 (Squat, Legs)</t>
  </si>
  <si>
    <t>Day 13 (Squat, Legs)</t>
  </si>
  <si>
    <t>Day 20 (Squat, Legs)</t>
  </si>
  <si>
    <t>Squat (AMRAP Set 4)</t>
  </si>
  <si>
    <t>Squat (AMRAP Final Set)</t>
  </si>
  <si>
    <t>BENCH PRESS</t>
  </si>
  <si>
    <t>BFR Leg Extension</t>
  </si>
  <si>
    <t>BFR Leg Curl</t>
  </si>
  <si>
    <t>DEADLIFT</t>
  </si>
  <si>
    <t>*The numbers you use for the Intermediate Block are determined by</t>
  </si>
  <si>
    <t>how many repetitions you perform for each lift on Day 27</t>
  </si>
  <si>
    <t>Day 7 (Rest/Active Recovery)</t>
  </si>
  <si>
    <t>Day 14 (Rest/Active Recovery)</t>
  </si>
  <si>
    <t>Day 21 (Rest/Active Recovery)</t>
  </si>
  <si>
    <t>**If only 1-4 repetitions are performed, use the reduced 1RM</t>
  </si>
  <si>
    <t>and repeat the Accumulation Block with those new 1RMs</t>
  </si>
  <si>
    <t>Auto-Regulation for Week 3</t>
  </si>
  <si>
    <t>Auto-Regulation for Week 4</t>
  </si>
  <si>
    <t>5-6</t>
  </si>
  <si>
    <t>7-8</t>
  </si>
  <si>
    <t>9-10</t>
  </si>
  <si>
    <t>11+</t>
  </si>
  <si>
    <t>1-3</t>
  </si>
  <si>
    <t>4-5</t>
  </si>
  <si>
    <t>8-9</t>
  </si>
  <si>
    <t>10+</t>
  </si>
  <si>
    <t>*These numbers are calculated by based on the performance</t>
  </si>
  <si>
    <t>of days 12 and 13, which will determine the difficulty for the</t>
  </si>
  <si>
    <t>of days 19 and 20, which will determine the difficulty for the</t>
  </si>
  <si>
    <t>next week of this block</t>
  </si>
  <si>
    <t>INTERMEDIATE BLOCK</t>
  </si>
  <si>
    <t>*Enter weight from the chart under Week 4</t>
  </si>
  <si>
    <t>*Enter weight from the chart under Week 6</t>
  </si>
  <si>
    <t>*Enter weight from the chart under Week 7</t>
  </si>
  <si>
    <t xml:space="preserve"> to calculate numbers for Week 5</t>
  </si>
  <si>
    <t xml:space="preserve"> to calculate numbers for Week 7</t>
  </si>
  <si>
    <t xml:space="preserve"> to calculate numbers for Week 8</t>
  </si>
  <si>
    <t>Week 5</t>
  </si>
  <si>
    <t>Week 6</t>
  </si>
  <si>
    <t>Week 7</t>
  </si>
  <si>
    <t>Week 8</t>
  </si>
  <si>
    <t>Day 29 (Squat, Bench, Deadlift)</t>
  </si>
  <si>
    <t>Day 36 (Squat, Bench, Deadlift)</t>
  </si>
  <si>
    <t>Day 43 (Squat, Bench, Deadlift)</t>
  </si>
  <si>
    <t>Day 50 (Squat, Bench, Deadlift)</t>
  </si>
  <si>
    <t>x8</t>
  </si>
  <si>
    <t>x6</t>
  </si>
  <si>
    <t>Day 30 (Upper Hypertrophy)</t>
  </si>
  <si>
    <t>Day 37 (Upper Hypertrophy)</t>
  </si>
  <si>
    <t>Day 44 (Upper Hypertrophy)</t>
  </si>
  <si>
    <t>Day 51 (Full-Body Hypertrophy)</t>
  </si>
  <si>
    <t>Dumbbell/EZ-Bar Curl (1 RIR)</t>
  </si>
  <si>
    <t>Day 31 (Squat, Bench, Legs)</t>
  </si>
  <si>
    <t>Day 38 (Squat, Bench, Legs)</t>
  </si>
  <si>
    <t>Day 45 (Squat, Bench, Legs)</t>
  </si>
  <si>
    <t>Day 52 (Squat, Bench, Deadlift)</t>
  </si>
  <si>
    <t>Day 53 (Rest/Active Recovery)</t>
  </si>
  <si>
    <t>Day 32 (Rest/Active Recovery)</t>
  </si>
  <si>
    <t>Day 39 (Rest/Active Recovery)</t>
  </si>
  <si>
    <t>Day 46 (Rest/Active Recovery)</t>
  </si>
  <si>
    <t>Day 54 (Rest/Active Recovery)</t>
  </si>
  <si>
    <t>Day 33 (Deadlift, Bench, Upper-Body)</t>
  </si>
  <si>
    <t>Day 40 (Deadlift, Bench, Upper-Body)</t>
  </si>
  <si>
    <t>Day 47 (Deadlift, Bench, Upper-Body)</t>
  </si>
  <si>
    <t>Day 55 (Rep Test)</t>
  </si>
  <si>
    <t>Day 56 (Rest)</t>
  </si>
  <si>
    <t>Estimated 1RMs for Intensity Block</t>
  </si>
  <si>
    <t>1-2</t>
  </si>
  <si>
    <t>3-4</t>
  </si>
  <si>
    <t>7+</t>
  </si>
  <si>
    <t>Day 34 (Squat, Legs)</t>
  </si>
  <si>
    <t>Day 41 (Squat, Legs)</t>
  </si>
  <si>
    <t>Day 48 (Squat, Legs)</t>
  </si>
  <si>
    <t>*The numbers you use for the Intensity Block are determined by</t>
  </si>
  <si>
    <t>how many repetitions you perform for each lift on Day 55</t>
  </si>
  <si>
    <t>Day 35 (Rest/Active Recovery)</t>
  </si>
  <si>
    <t>Day 42 (Rest/Active Recovery)</t>
  </si>
  <si>
    <t>Day 49 (Rest/Active Recovery)</t>
  </si>
  <si>
    <t>**If only 1-2 repetitions are performed, use the reduced 1RM</t>
  </si>
  <si>
    <t>and repeat the Intermediate Block with those new 1RMs</t>
  </si>
  <si>
    <t>Auto-Regulation for Week 7</t>
  </si>
  <si>
    <t>Auto-Regulation for Week 8</t>
  </si>
  <si>
    <t>9+</t>
  </si>
  <si>
    <t>of days 40 and 41, which will determine the difficulty for the</t>
  </si>
  <si>
    <t>of days 47 and 48, which will determine the difficulty for the</t>
  </si>
  <si>
    <t>INTENSITY BLOCK</t>
  </si>
  <si>
    <t>*Enter weight from the chart under Week 8</t>
  </si>
  <si>
    <t>*Enter weight from the chart under Week 10</t>
  </si>
  <si>
    <t>*Enter weight from the chart under Week 11</t>
  </si>
  <si>
    <t xml:space="preserve"> to calculate numbers for Week 9</t>
  </si>
  <si>
    <t xml:space="preserve"> to calculate numbers for Week 11</t>
  </si>
  <si>
    <t xml:space="preserve"> to calculate numbers for Week 12</t>
  </si>
  <si>
    <t>Week 9</t>
  </si>
  <si>
    <t>Week 10</t>
  </si>
  <si>
    <t>Week 11</t>
  </si>
  <si>
    <t>Week 12</t>
  </si>
  <si>
    <t>Day 57 (Squat, Bench, Deadlift)</t>
  </si>
  <si>
    <t>Day 64 (Squat, Bench, Deadlift)</t>
  </si>
  <si>
    <t>Day 71 (Squat, Bench, Deadlift)</t>
  </si>
  <si>
    <t>Day 78 (Squat, Bench, Deadlift)</t>
  </si>
  <si>
    <t>Set 6</t>
  </si>
  <si>
    <t>Day 58 (Upper Hypertrophy)</t>
  </si>
  <si>
    <t>Day 65 (Upper Hypertrophy)</t>
  </si>
  <si>
    <t>Day 72 (Upper Hypertrophy)</t>
  </si>
  <si>
    <t>Day 79 (Upper Hypertrophy)</t>
  </si>
  <si>
    <t>Day 59 (Squat, Bench, Legs)</t>
  </si>
  <si>
    <t>Day 66 (Squat, Bench, Legs)</t>
  </si>
  <si>
    <t>Day 73 (Squat, Bench, Legs)</t>
  </si>
  <si>
    <t>Day 80 (Squat, Bench, Legs)</t>
  </si>
  <si>
    <t>Day 60 (Rest/Active Recovery)</t>
  </si>
  <si>
    <t>Day 67 (Rest/Active Recovery)</t>
  </si>
  <si>
    <t>Day 74 (Rest/Active Recovery)</t>
  </si>
  <si>
    <t>Day 81 (Rest/Active Recovery)</t>
  </si>
  <si>
    <t>Day 61 (Deadlift, Bench, Upper-Body)</t>
  </si>
  <si>
    <t>Day 68 (Deadlift, Bench, Upper-Body)</t>
  </si>
  <si>
    <t>Day 75 (Deadlift, Bench, Upper-Body)</t>
  </si>
  <si>
    <t>Day 82 (Deadlift, Bench, Upper-Body)</t>
  </si>
  <si>
    <t>x2</t>
  </si>
  <si>
    <t>Day 62 (Squat, Legs)</t>
  </si>
  <si>
    <t>Day 69 (Squat, Legs)</t>
  </si>
  <si>
    <t>Day 76 (Squat, Legs)</t>
  </si>
  <si>
    <t>Day 83 (Squat, Legs)</t>
  </si>
  <si>
    <t>Day 63 (Rest/Active Recovery)</t>
  </si>
  <si>
    <t>Day 70 (Rest/Active Recovery)</t>
  </si>
  <si>
    <t>Day 77 (Rest/Active Recovery)</t>
  </si>
  <si>
    <t>Day 84 (Rest/Active Recovery)</t>
  </si>
  <si>
    <t>Auto-Regulation for Week 11</t>
  </si>
  <si>
    <t>Auto-Regulation for Week 12</t>
  </si>
  <si>
    <t>Estimated 1RMs for Final Week</t>
  </si>
  <si>
    <t>1</t>
  </si>
  <si>
    <t>2-3</t>
  </si>
  <si>
    <t>6+</t>
  </si>
  <si>
    <t>of days 68 and 69, which will determine the difficulty for the</t>
  </si>
  <si>
    <t>of days 75 and 76, which will determine the difficulty for the</t>
  </si>
  <si>
    <t>FINAL WEEK</t>
  </si>
  <si>
    <t>*Enter weight from the chart under Week 12</t>
  </si>
  <si>
    <t xml:space="preserve"> to calculate numbers for Week 13</t>
  </si>
  <si>
    <t>Week 13</t>
  </si>
  <si>
    <t>Day 85 (Squat, Bench, Deadlift)</t>
  </si>
  <si>
    <t>Day 86 (Full Body Hypertrophy)</t>
  </si>
  <si>
    <t>x8x10</t>
  </si>
  <si>
    <t>Calf Raise (1 RIR)</t>
  </si>
  <si>
    <t>Pec-Deck Fly/Cable Cross-Over (3 RIR)</t>
  </si>
  <si>
    <t>Lat Pull-Down (2 RIR)</t>
  </si>
  <si>
    <t>Dumbbell/Machine Row (2 RIR)</t>
  </si>
  <si>
    <t>Lateral Raise (2 RIR)</t>
  </si>
  <si>
    <t>Preacher/Concentration Curl (1 RIR)</t>
  </si>
  <si>
    <t>BFR Machine Curl (2 Cluster Sets)</t>
  </si>
  <si>
    <t>Cable Tricep Push-Down (1 RIR)</t>
  </si>
  <si>
    <t>Day 87 (Squat, Bench, Legs)</t>
  </si>
  <si>
    <t>Day 88 (Rest)</t>
  </si>
  <si>
    <t>Day 89 (Rest)</t>
  </si>
  <si>
    <t>Day 90 (Testing)</t>
  </si>
  <si>
    <t>Attempt 1</t>
  </si>
  <si>
    <t>Attempt 2</t>
  </si>
  <si>
    <t>Attempt 3</t>
  </si>
  <si>
    <t>90-94%</t>
  </si>
  <si>
    <t>96-100%</t>
  </si>
  <si>
    <t>100-104%</t>
  </si>
  <si>
    <t>*Choose numbers between the two percentages given per attempt</t>
  </si>
  <si>
    <t xml:space="preserve">          Ex: if your estimated 1RM on the deadlift is 500lbs, you will choose anything</t>
  </si>
  <si>
    <t xml:space="preserve">          between the range of 450-470lbs for your first attempt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</si>
</sst>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_-;\-* #,##0.0_-;_-* &quot;-&quot;_-;_-@"/>
    <numFmt numFmtId="165" formatCode="_(* #,##0.0_);_(* \(#,##0.0\);_(* &quot;-&quot;_);_(@_)"/>
    <numFmt numFmtId="166" formatCode="_-* #,##0_-;\-* #,##0_-;_-* &quot;-&quot;_-;_-@"/>
    <numFmt numFmtId="167" formatCode="_(* #,##0_);_(* \(#,##0\);_(* &quot;-&quot;??_);_(@_)"/>
    <numFmt numFmtId="168" formatCode="_(* #,##0_);_(* \(#,##0\);_(* &quot;-&quot;_);_(@_)"/>
  </numFmts>
  <fonts count="17">
    <font>
      <sz val="11.0"/>
      <color rgb="FF000000"/>
      <name val="Calibri"/>
    </font>
    <font>
      <b/>
      <u/>
      <sz val="18.0"/>
      <color rgb="FF000000"/>
      <name val="Arial"/>
    </font>
    <font/>
    <font>
      <b/>
      <u/>
      <sz val="11.0"/>
      <color rgb="FF000000"/>
      <name val="Calibri"/>
    </font>
    <font>
      <u/>
      <sz val="11.0"/>
      <color rgb="FF000000"/>
      <name val="Calibri"/>
    </font>
    <font>
      <b/>
      <sz val="11.0"/>
      <color rgb="FF000000"/>
      <name val="Calibri"/>
    </font>
    <font>
      <b/>
      <sz val="11.0"/>
      <name val="Calibri"/>
    </font>
    <font>
      <b/>
      <sz val="28.0"/>
      <color rgb="FF000000"/>
      <name val="Aharoni"/>
    </font>
    <font>
      <b/>
      <sz val="11.0"/>
      <color rgb="FF000000"/>
      <name val="Aharoni"/>
    </font>
    <font>
      <b/>
      <u/>
      <sz val="14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28.0"/>
      <color rgb="FFFFFFFF"/>
      <name val="Aharoni"/>
    </font>
    <font>
      <sz val="11.0"/>
      <color rgb="FFFFFFFF"/>
      <name val="Calibri"/>
    </font>
    <font>
      <b/>
      <sz val="22.0"/>
      <color rgb="FFFFFFFF"/>
      <name val="Calibri"/>
    </font>
    <font>
      <b/>
      <sz val="11.0"/>
      <color rgb="FFFF0000"/>
      <name val="Calibri"/>
    </font>
    <font>
      <b/>
      <u/>
      <sz val="11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C6D9F0"/>
        <bgColor rgb="FFC6D9F0"/>
      </patternFill>
    </fill>
    <fill>
      <patternFill patternType="solid">
        <fgColor rgb="FF9BBB59"/>
        <bgColor rgb="FF9BBB59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000000"/>
        <bgColor rgb="FF000000"/>
      </patternFill>
    </fill>
    <fill>
      <patternFill patternType="solid">
        <fgColor rgb="FFC0504D"/>
        <bgColor rgb="FFC0504D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92CDDC"/>
        <bgColor rgb="FF92CDDC"/>
      </patternFill>
    </fill>
    <fill>
      <patternFill patternType="solid">
        <fgColor rgb="FF3F3F3F"/>
        <bgColor rgb="FF3F3F3F"/>
      </patternFill>
    </fill>
    <fill>
      <patternFill patternType="solid">
        <fgColor rgb="FFB6DDE8"/>
        <bgColor rgb="FFB6DDE8"/>
      </patternFill>
    </fill>
  </fills>
  <borders count="9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0" numFmtId="0" xfId="0" applyBorder="1" applyFill="1" applyFont="1"/>
    <xf borderId="4" fillId="3" fontId="3" numFmtId="0" xfId="0" applyBorder="1" applyFont="1"/>
    <xf borderId="4" fillId="3" fontId="4" numFmtId="0" xfId="0" applyBorder="1" applyFont="1"/>
    <xf borderId="5" fillId="4" fontId="5" numFmtId="0" xfId="0" applyBorder="1" applyFill="1" applyFont="1"/>
    <xf borderId="6" fillId="4" fontId="0" numFmtId="0" xfId="0" applyBorder="1" applyFont="1"/>
    <xf borderId="7" fillId="4" fontId="0" numFmtId="0" xfId="0" applyBorder="1" applyFont="1"/>
    <xf borderId="8" fillId="4" fontId="0" numFmtId="0" xfId="0" applyBorder="1" applyFont="1"/>
    <xf borderId="9" fillId="3" fontId="6" numFmtId="0" xfId="0" applyAlignment="1" applyBorder="1" applyFont="1">
      <alignment horizontal="center"/>
    </xf>
    <xf borderId="8" fillId="5" fontId="5" numFmtId="0" xfId="0" applyBorder="1" applyFill="1" applyFont="1"/>
    <xf borderId="8" fillId="6" fontId="5" numFmtId="164" xfId="0" applyAlignment="1" applyBorder="1" applyFill="1" applyFont="1" applyNumberFormat="1">
      <alignment horizontal="center" readingOrder="0"/>
    </xf>
    <xf borderId="8" fillId="3" fontId="5" numFmtId="0" xfId="0" applyBorder="1" applyFont="1"/>
    <xf borderId="10" fillId="4" fontId="5" numFmtId="0" xfId="0" applyBorder="1" applyFont="1"/>
    <xf borderId="11" fillId="4" fontId="0" numFmtId="0" xfId="0" applyBorder="1" applyFont="1"/>
    <xf borderId="12" fillId="4" fontId="0" numFmtId="0" xfId="0" applyBorder="1" applyFont="1"/>
    <xf borderId="13" fillId="4" fontId="5" numFmtId="0" xfId="0" applyBorder="1" applyFont="1"/>
    <xf borderId="4" fillId="4" fontId="0" numFmtId="0" xfId="0" applyBorder="1" applyFont="1"/>
    <xf borderId="14" fillId="4" fontId="0" numFmtId="0" xfId="0" applyBorder="1" applyFont="1"/>
    <xf borderId="13" fillId="4" fontId="0" numFmtId="0" xfId="0" applyBorder="1" applyFont="1"/>
    <xf borderId="15" fillId="4" fontId="5" numFmtId="0" xfId="0" applyBorder="1" applyFont="1"/>
    <xf borderId="16" fillId="4" fontId="0" numFmtId="0" xfId="0" applyBorder="1" applyFont="1"/>
    <xf borderId="17" fillId="4" fontId="0" numFmtId="0" xfId="0" applyBorder="1" applyFont="1"/>
    <xf borderId="10" fillId="3" fontId="5" numFmtId="0" xfId="0" applyBorder="1" applyFont="1"/>
    <xf borderId="11" fillId="3" fontId="0" numFmtId="0" xfId="0" applyBorder="1" applyFont="1"/>
    <xf borderId="12" fillId="3" fontId="0" numFmtId="0" xfId="0" applyBorder="1" applyFont="1"/>
    <xf borderId="15" fillId="3" fontId="5" numFmtId="0" xfId="0" applyBorder="1" applyFont="1"/>
    <xf borderId="16" fillId="3" fontId="0" numFmtId="0" xfId="0" applyBorder="1" applyFont="1"/>
    <xf borderId="17" fillId="3" fontId="0" numFmtId="0" xfId="0" applyBorder="1" applyFont="1"/>
    <xf borderId="0" fillId="0" fontId="0" numFmtId="0" xfId="0" applyFont="1"/>
    <xf borderId="0" fillId="0" fontId="7" numFmtId="0" xfId="0" applyFont="1"/>
    <xf borderId="10" fillId="7" fontId="7" numFmtId="0" xfId="0" applyBorder="1" applyFill="1" applyFont="1"/>
    <xf borderId="11" fillId="7" fontId="0" numFmtId="0" xfId="0" applyBorder="1" applyFont="1"/>
    <xf borderId="11" fillId="7" fontId="7" numFmtId="0" xfId="0" applyBorder="1" applyFont="1"/>
    <xf borderId="12" fillId="7" fontId="7" numFmtId="0" xfId="0" applyBorder="1" applyFont="1"/>
    <xf borderId="18" fillId="0" fontId="7" numFmtId="0" xfId="0" applyBorder="1" applyFont="1"/>
    <xf borderId="19" fillId="7" fontId="7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0" fillId="0" fontId="7" numFmtId="0" xfId="0" applyAlignment="1" applyFont="1">
      <alignment horizontal="center"/>
    </xf>
    <xf borderId="1" fillId="4" fontId="8" numFmtId="0" xfId="0" applyAlignment="1" applyBorder="1" applyFont="1">
      <alignment horizontal="center" vertical="center"/>
    </xf>
    <xf borderId="22" fillId="8" fontId="5" numFmtId="0" xfId="0" applyAlignment="1" applyBorder="1" applyFill="1" applyFont="1">
      <alignment horizontal="left" vertical="center"/>
    </xf>
    <xf borderId="23" fillId="8" fontId="7" numFmtId="0" xfId="0" applyBorder="1" applyFont="1"/>
    <xf borderId="24" fillId="8" fontId="5" numFmtId="165" xfId="0" applyAlignment="1" applyBorder="1" applyFont="1" applyNumberFormat="1">
      <alignment horizontal="center" readingOrder="0" vertical="center"/>
    </xf>
    <xf borderId="25" fillId="3" fontId="5" numFmtId="0" xfId="0" applyAlignment="1" applyBorder="1" applyFont="1">
      <alignment horizontal="center"/>
    </xf>
    <xf borderId="26" fillId="0" fontId="2" numFmtId="0" xfId="0" applyBorder="1" applyFont="1"/>
    <xf borderId="27" fillId="0" fontId="2" numFmtId="0" xfId="0" applyBorder="1" applyFont="1"/>
    <xf borderId="28" fillId="8" fontId="5" numFmtId="0" xfId="0" applyAlignment="1" applyBorder="1" applyFont="1">
      <alignment horizontal="left" vertical="center"/>
    </xf>
    <xf borderId="6" fillId="8" fontId="0" numFmtId="0" xfId="0" applyAlignment="1" applyBorder="1" applyFont="1">
      <alignment vertical="center"/>
    </xf>
    <xf borderId="29" fillId="8" fontId="5" numFmtId="165" xfId="0" applyAlignment="1" applyBorder="1" applyFont="1" applyNumberFormat="1">
      <alignment horizontal="center" readingOrder="0" vertical="center"/>
    </xf>
    <xf borderId="30" fillId="0" fontId="0" numFmtId="0" xfId="0" applyBorder="1" applyFont="1"/>
    <xf borderId="31" fillId="3" fontId="5" numFmtId="0" xfId="0" applyAlignment="1" applyBorder="1" applyFont="1">
      <alignment horizontal="center" vertical="top"/>
    </xf>
    <xf borderId="32" fillId="0" fontId="2" numFmtId="0" xfId="0" applyBorder="1" applyFont="1"/>
    <xf borderId="33" fillId="0" fontId="2" numFmtId="0" xfId="0" applyBorder="1" applyFont="1"/>
    <xf borderId="0" fillId="0" fontId="9" numFmtId="0" xfId="0" applyFont="1"/>
    <xf borderId="34" fillId="8" fontId="5" numFmtId="0" xfId="0" applyAlignment="1" applyBorder="1" applyFont="1">
      <alignment horizontal="left" vertical="center"/>
    </xf>
    <xf borderId="35" fillId="8" fontId="0" numFmtId="0" xfId="0" applyBorder="1" applyFont="1"/>
    <xf borderId="36" fillId="8" fontId="5" numFmtId="165" xfId="0" applyAlignment="1" applyBorder="1" applyFont="1" applyNumberFormat="1">
      <alignment horizontal="left" readingOrder="0" vertical="center"/>
    </xf>
    <xf borderId="36" fillId="8" fontId="5" numFmtId="165" xfId="0" applyAlignment="1" applyBorder="1" applyFont="1" applyNumberFormat="1">
      <alignment horizontal="center" readingOrder="0" vertical="center"/>
    </xf>
    <xf borderId="0" fillId="0" fontId="5" numFmtId="0" xfId="0" applyFont="1"/>
    <xf borderId="37" fillId="3" fontId="0" numFmtId="0" xfId="0" applyAlignment="1" applyBorder="1" applyFont="1">
      <alignment vertical="center"/>
    </xf>
    <xf borderId="38" fillId="3" fontId="0" numFmtId="0" xfId="0" applyAlignment="1" applyBorder="1" applyFont="1">
      <alignment vertical="center"/>
    </xf>
    <xf borderId="37" fillId="3" fontId="5" numFmtId="0" xfId="0" applyAlignment="1" applyBorder="1" applyFont="1">
      <alignment vertical="center"/>
    </xf>
    <xf borderId="38" fillId="3" fontId="5" numFmtId="0" xfId="0" applyAlignment="1" applyBorder="1" applyFont="1">
      <alignment vertical="center"/>
    </xf>
    <xf borderId="39" fillId="9" fontId="0" numFmtId="0" xfId="0" applyAlignment="1" applyBorder="1" applyFill="1" applyFont="1">
      <alignment vertical="center"/>
    </xf>
    <xf borderId="39" fillId="0" fontId="0" numFmtId="0" xfId="0" applyAlignment="1" applyBorder="1" applyFont="1">
      <alignment vertical="center"/>
    </xf>
    <xf borderId="40" fillId="0" fontId="0" numFmtId="165" xfId="0" applyAlignment="1" applyBorder="1" applyFont="1" applyNumberFormat="1">
      <alignment vertical="center"/>
    </xf>
    <xf borderId="41" fillId="0" fontId="0" numFmtId="0" xfId="0" applyAlignment="1" applyBorder="1" applyFont="1">
      <alignment vertical="center"/>
    </xf>
    <xf borderId="40" fillId="10" fontId="0" numFmtId="0" xfId="0" applyAlignment="1" applyBorder="1" applyFill="1" applyFont="1">
      <alignment vertical="center"/>
    </xf>
    <xf borderId="41" fillId="10" fontId="0" numFmtId="0" xfId="0" applyAlignment="1" applyBorder="1" applyFont="1">
      <alignment vertical="center"/>
    </xf>
    <xf borderId="42" fillId="0" fontId="0" numFmtId="0" xfId="0" applyAlignment="1" applyBorder="1" applyFont="1">
      <alignment vertical="center"/>
    </xf>
    <xf borderId="43" fillId="9" fontId="0" numFmtId="0" xfId="0" applyAlignment="1" applyBorder="1" applyFont="1">
      <alignment vertical="center"/>
    </xf>
    <xf borderId="43" fillId="0" fontId="0" numFmtId="0" xfId="0" applyAlignment="1" applyBorder="1" applyFont="1">
      <alignment vertical="center"/>
    </xf>
    <xf borderId="44" fillId="0" fontId="0" numFmtId="165" xfId="0" applyAlignment="1" applyBorder="1" applyFont="1" applyNumberFormat="1">
      <alignment vertical="center"/>
    </xf>
    <xf borderId="29" fillId="0" fontId="0" numFmtId="0" xfId="0" applyAlignment="1" applyBorder="1" applyFont="1">
      <alignment vertical="center"/>
    </xf>
    <xf borderId="45" fillId="0" fontId="0" numFmtId="165" xfId="0" applyAlignment="1" applyBorder="1" applyFont="1" applyNumberFormat="1">
      <alignment vertical="center"/>
    </xf>
    <xf borderId="45" fillId="10" fontId="0" numFmtId="0" xfId="0" applyAlignment="1" applyBorder="1" applyFont="1">
      <alignment vertical="center"/>
    </xf>
    <xf borderId="29" fillId="10" fontId="0" numFmtId="0" xfId="0" applyAlignment="1" applyBorder="1" applyFont="1">
      <alignment vertical="center"/>
    </xf>
    <xf borderId="46" fillId="0" fontId="0" numFmtId="0" xfId="0" applyAlignment="1" applyBorder="1" applyFont="1">
      <alignment vertical="center"/>
    </xf>
    <xf borderId="47" fillId="9" fontId="0" numFmtId="0" xfId="0" applyAlignment="1" applyBorder="1" applyFont="1">
      <alignment vertical="center"/>
    </xf>
    <xf borderId="47" fillId="0" fontId="0" numFmtId="0" xfId="0" applyAlignment="1" applyBorder="1" applyFont="1">
      <alignment vertical="center"/>
    </xf>
    <xf borderId="48" fillId="0" fontId="0" numFmtId="165" xfId="0" applyAlignment="1" applyBorder="1" applyFont="1" applyNumberFormat="1">
      <alignment vertical="center"/>
    </xf>
    <xf borderId="36" fillId="0" fontId="0" numFmtId="0" xfId="0" applyAlignment="1" applyBorder="1" applyFont="1">
      <alignment vertical="center"/>
    </xf>
    <xf borderId="48" fillId="10" fontId="0" numFmtId="0" xfId="0" applyAlignment="1" applyBorder="1" applyFont="1">
      <alignment vertical="center"/>
    </xf>
    <xf borderId="36" fillId="10" fontId="0" numFmtId="0" xfId="0" applyAlignment="1" applyBorder="1" applyFont="1">
      <alignment vertical="center"/>
    </xf>
    <xf borderId="48" fillId="10" fontId="0" numFmtId="1" xfId="0" applyAlignment="1" applyBorder="1" applyFont="1" applyNumberFormat="1">
      <alignment vertical="center"/>
    </xf>
    <xf borderId="49" fillId="0" fontId="0" numFmtId="0" xfId="0" applyAlignment="1" applyBorder="1" applyFont="1">
      <alignment vertical="center"/>
    </xf>
    <xf borderId="40" fillId="0" fontId="0" numFmtId="1" xfId="0" applyAlignment="1" applyBorder="1" applyFont="1" applyNumberFormat="1">
      <alignment vertical="center"/>
    </xf>
    <xf borderId="50" fillId="0" fontId="0" numFmtId="0" xfId="0" applyAlignment="1" applyBorder="1" applyFont="1">
      <alignment vertical="center"/>
    </xf>
    <xf borderId="51" fillId="0" fontId="0" numFmtId="1" xfId="0" applyAlignment="1" applyBorder="1" applyFont="1" applyNumberFormat="1">
      <alignment vertical="center"/>
    </xf>
    <xf borderId="45" fillId="0" fontId="0" numFmtId="1" xfId="0" applyAlignment="1" applyBorder="1" applyFont="1" applyNumberFormat="1">
      <alignment vertical="center"/>
    </xf>
    <xf borderId="52" fillId="0" fontId="0" numFmtId="0" xfId="0" applyAlignment="1" applyBorder="1" applyFont="1">
      <alignment vertical="center"/>
    </xf>
    <xf borderId="45" fillId="0" fontId="0" numFmtId="0" xfId="0" applyAlignment="1" applyBorder="1" applyFont="1">
      <alignment vertical="center"/>
    </xf>
    <xf borderId="53" fillId="0" fontId="0" numFmtId="0" xfId="0" applyBorder="1" applyFont="1"/>
    <xf borderId="54" fillId="9" fontId="0" numFmtId="0" xfId="0" applyAlignment="1" applyBorder="1" applyFont="1">
      <alignment vertical="center"/>
    </xf>
    <xf borderId="55" fillId="9" fontId="0" numFmtId="0" xfId="0" applyAlignment="1" applyBorder="1" applyFont="1">
      <alignment vertical="center"/>
    </xf>
    <xf borderId="56" fillId="0" fontId="0" numFmtId="0" xfId="0" applyAlignment="1" applyBorder="1" applyFont="1">
      <alignment vertical="center"/>
    </xf>
    <xf borderId="57" fillId="9" fontId="0" numFmtId="0" xfId="0" applyAlignment="1" applyBorder="1" applyFont="1">
      <alignment vertical="center"/>
    </xf>
    <xf borderId="58" fillId="9" fontId="0" numFmtId="0" xfId="0" applyAlignment="1" applyBorder="1" applyFont="1">
      <alignment vertical="center"/>
    </xf>
    <xf borderId="59" fillId="0" fontId="0" numFmtId="0" xfId="0" applyAlignment="1" applyBorder="1" applyFont="1">
      <alignment vertical="center"/>
    </xf>
    <xf borderId="48" fillId="0" fontId="0" numFmtId="1" xfId="0" applyAlignment="1" applyBorder="1" applyFont="1" applyNumberFormat="1">
      <alignment vertical="center"/>
    </xf>
    <xf borderId="48" fillId="0" fontId="0" numFmtId="0" xfId="0" applyAlignment="1" applyBorder="1" applyFont="1">
      <alignment vertical="center"/>
    </xf>
    <xf borderId="60" fillId="9" fontId="0" numFmtId="0" xfId="0" applyAlignment="1" applyBorder="1" applyFont="1">
      <alignment vertical="center"/>
    </xf>
    <xf borderId="45" fillId="9" fontId="0" numFmtId="0" xfId="0" applyAlignment="1" applyBorder="1" applyFont="1">
      <alignment vertical="center"/>
    </xf>
    <xf borderId="53" fillId="0" fontId="0" numFmtId="0" xfId="0" applyAlignment="1" applyBorder="1" applyFont="1">
      <alignment vertical="center"/>
    </xf>
    <xf borderId="61" fillId="10" fontId="0" numFmtId="0" xfId="0" applyAlignment="1" applyBorder="1" applyFont="1">
      <alignment vertical="center"/>
    </xf>
    <xf borderId="62" fillId="10" fontId="0" numFmtId="0" xfId="0" applyAlignment="1" applyBorder="1" applyFont="1">
      <alignment vertical="center"/>
    </xf>
    <xf borderId="63" fillId="10" fontId="0" numFmtId="0" xfId="0" applyAlignment="1" applyBorder="1" applyFont="1">
      <alignment vertical="center"/>
    </xf>
    <xf borderId="64" fillId="0" fontId="0" numFmtId="0" xfId="0" applyAlignment="1" applyBorder="1" applyFont="1">
      <alignment vertical="center"/>
    </xf>
    <xf borderId="65" fillId="0" fontId="0" numFmtId="0" xfId="0" applyAlignment="1" applyBorder="1" applyFont="1">
      <alignment vertical="center"/>
    </xf>
    <xf borderId="0" fillId="0" fontId="0" numFmtId="0" xfId="0" applyAlignment="1" applyFont="1">
      <alignment vertical="center"/>
    </xf>
    <xf borderId="0" fillId="0" fontId="0" numFmtId="1" xfId="0" applyAlignment="1" applyFont="1" applyNumberFormat="1">
      <alignment vertical="center"/>
    </xf>
    <xf borderId="65" fillId="0" fontId="0" numFmtId="1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30" fillId="0" fontId="0" numFmtId="165" xfId="0" applyAlignment="1" applyBorder="1" applyFont="1" applyNumberFormat="1">
      <alignment vertical="center"/>
    </xf>
    <xf borderId="10" fillId="3" fontId="0" numFmtId="0" xfId="0" applyBorder="1" applyFont="1"/>
    <xf borderId="66" fillId="3" fontId="10" numFmtId="0" xfId="0" applyAlignment="1" applyBorder="1" applyFont="1">
      <alignment horizontal="center"/>
    </xf>
    <xf borderId="67" fillId="0" fontId="2" numFmtId="0" xfId="0" applyBorder="1" applyFont="1"/>
    <xf borderId="68" fillId="0" fontId="2" numFmtId="0" xfId="0" applyBorder="1" applyFont="1"/>
    <xf borderId="0" fillId="0" fontId="11" numFmtId="0" xfId="0" applyFont="1"/>
    <xf borderId="54" fillId="10" fontId="0" numFmtId="0" xfId="0" applyAlignment="1" applyBorder="1" applyFont="1">
      <alignment vertical="center"/>
    </xf>
    <xf borderId="13" fillId="3" fontId="0" numFmtId="0" xfId="0" applyBorder="1" applyFont="1"/>
    <xf borderId="4" fillId="3" fontId="0" numFmtId="0" xfId="0" applyAlignment="1" applyBorder="1" applyFont="1">
      <alignment vertical="center"/>
    </xf>
    <xf borderId="14" fillId="3" fontId="0" numFmtId="0" xfId="0" applyBorder="1" applyFont="1"/>
    <xf borderId="13" fillId="3" fontId="0" numFmtId="0" xfId="0" applyAlignment="1" applyBorder="1" applyFont="1">
      <alignment horizontal="right"/>
    </xf>
    <xf borderId="16" fillId="3" fontId="5" numFmtId="49" xfId="0" applyAlignment="1" applyBorder="1" applyFont="1" applyNumberFormat="1">
      <alignment horizontal="center"/>
    </xf>
    <xf borderId="17" fillId="3" fontId="5" numFmtId="49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9" fillId="5" fontId="5" numFmtId="0" xfId="0" applyAlignment="1" applyBorder="1" applyFont="1">
      <alignment horizontal="right" vertical="center"/>
    </xf>
    <xf borderId="9" fillId="6" fontId="0" numFmtId="165" xfId="0" applyAlignment="1" applyBorder="1" applyFont="1" applyNumberFormat="1">
      <alignment horizontal="center"/>
    </xf>
    <xf borderId="0" fillId="0" fontId="0" numFmtId="166" xfId="0" applyAlignment="1" applyFont="1" applyNumberFormat="1">
      <alignment horizontal="center"/>
    </xf>
    <xf borderId="69" fillId="9" fontId="0" numFmtId="0" xfId="0" applyAlignment="1" applyBorder="1" applyFont="1">
      <alignment vertical="center"/>
    </xf>
    <xf borderId="13" fillId="3" fontId="5" numFmtId="0" xfId="0" applyBorder="1" applyFont="1"/>
    <xf borderId="13" fillId="3" fontId="5" numFmtId="0" xfId="0" applyAlignment="1" applyBorder="1" applyFont="1">
      <alignment vertical="center"/>
    </xf>
    <xf borderId="4" fillId="3" fontId="0" numFmtId="1" xfId="0" applyAlignment="1" applyBorder="1" applyFont="1" applyNumberFormat="1">
      <alignment vertical="center"/>
    </xf>
    <xf borderId="14" fillId="3" fontId="0" numFmtId="1" xfId="0" applyAlignment="1" applyBorder="1" applyFont="1" applyNumberFormat="1">
      <alignment vertical="center"/>
    </xf>
    <xf borderId="15" fillId="3" fontId="5" numFmtId="0" xfId="0" applyAlignment="1" applyBorder="1" applyFont="1">
      <alignment vertical="center"/>
    </xf>
    <xf borderId="16" fillId="3" fontId="0" numFmtId="0" xfId="0" applyAlignment="1" applyBorder="1" applyFont="1">
      <alignment vertical="center"/>
    </xf>
    <xf borderId="16" fillId="3" fontId="0" numFmtId="1" xfId="0" applyAlignment="1" applyBorder="1" applyFont="1" applyNumberFormat="1">
      <alignment vertical="center"/>
    </xf>
    <xf borderId="17" fillId="3" fontId="0" numFmtId="1" xfId="0" applyAlignment="1" applyBorder="1" applyFont="1" applyNumberFormat="1">
      <alignment vertical="center"/>
    </xf>
    <xf borderId="17" fillId="3" fontId="5" numFmtId="0" xfId="0" applyAlignment="1" applyBorder="1" applyFont="1">
      <alignment horizontal="center"/>
    </xf>
    <xf borderId="10" fillId="11" fontId="7" numFmtId="0" xfId="0" applyBorder="1" applyFill="1" applyFont="1"/>
    <xf borderId="11" fillId="11" fontId="0" numFmtId="0" xfId="0" applyBorder="1" applyFont="1"/>
    <xf borderId="11" fillId="11" fontId="7" numFmtId="0" xfId="0" applyBorder="1" applyFont="1"/>
    <xf borderId="12" fillId="11" fontId="7" numFmtId="0" xfId="0" applyBorder="1" applyFont="1"/>
    <xf borderId="19" fillId="11" fontId="7" numFmtId="0" xfId="0" applyAlignment="1" applyBorder="1" applyFont="1">
      <alignment horizontal="center"/>
    </xf>
    <xf borderId="24" fillId="8" fontId="5" numFmtId="164" xfId="0" applyAlignment="1" applyBorder="1" applyFont="1" applyNumberFormat="1">
      <alignment horizontal="center" readingOrder="0" vertical="center"/>
    </xf>
    <xf borderId="29" fillId="8" fontId="5" numFmtId="164" xfId="0" applyAlignment="1" applyBorder="1" applyFont="1" applyNumberFormat="1">
      <alignment horizontal="center" readingOrder="0" vertical="center"/>
    </xf>
    <xf borderId="36" fillId="8" fontId="5" numFmtId="164" xfId="0" applyAlignment="1" applyBorder="1" applyFont="1" applyNumberFormat="1">
      <alignment horizontal="center" readingOrder="0" vertical="center"/>
    </xf>
    <xf borderId="39" fillId="12" fontId="0" numFmtId="0" xfId="0" applyAlignment="1" applyBorder="1" applyFill="1" applyFont="1">
      <alignment vertical="center"/>
    </xf>
    <xf borderId="70" fillId="0" fontId="0" numFmtId="164" xfId="0" applyAlignment="1" applyBorder="1" applyFont="1" applyNumberFormat="1">
      <alignment vertical="center"/>
    </xf>
    <xf borderId="40" fillId="0" fontId="0" numFmtId="164" xfId="0" applyAlignment="1" applyBorder="1" applyFont="1" applyNumberFormat="1">
      <alignment vertical="center"/>
    </xf>
    <xf borderId="43" fillId="12" fontId="0" numFmtId="0" xfId="0" applyAlignment="1" applyBorder="1" applyFont="1">
      <alignment vertical="center"/>
    </xf>
    <xf borderId="45" fillId="0" fontId="0" numFmtId="164" xfId="0" applyAlignment="1" applyBorder="1" applyFont="1" applyNumberFormat="1">
      <alignment vertical="center"/>
    </xf>
    <xf borderId="44" fillId="0" fontId="0" numFmtId="164" xfId="0" applyAlignment="1" applyBorder="1" applyFont="1" applyNumberFormat="1">
      <alignment vertical="center"/>
    </xf>
    <xf borderId="47" fillId="12" fontId="0" numFmtId="0" xfId="0" applyAlignment="1" applyBorder="1" applyFont="1">
      <alignment vertical="center"/>
    </xf>
    <xf borderId="48" fillId="0" fontId="0" numFmtId="164" xfId="0" applyAlignment="1" applyBorder="1" applyFont="1" applyNumberFormat="1">
      <alignment vertical="center"/>
    </xf>
    <xf borderId="0" fillId="0" fontId="0" numFmtId="164" xfId="0" applyFont="1" applyNumberFormat="1"/>
    <xf borderId="54" fillId="12" fontId="0" numFmtId="0" xfId="0" applyAlignment="1" applyBorder="1" applyFont="1">
      <alignment vertical="center"/>
    </xf>
    <xf borderId="55" fillId="12" fontId="0" numFmtId="0" xfId="0" applyAlignment="1" applyBorder="1" applyFont="1">
      <alignment vertical="center"/>
    </xf>
    <xf borderId="57" fillId="12" fontId="0" numFmtId="0" xfId="0" applyAlignment="1" applyBorder="1" applyFont="1">
      <alignment vertical="center"/>
    </xf>
    <xf borderId="58" fillId="12" fontId="0" numFmtId="0" xfId="0" applyAlignment="1" applyBorder="1" applyFont="1">
      <alignment vertical="center"/>
    </xf>
    <xf borderId="60" fillId="12" fontId="0" numFmtId="0" xfId="0" applyAlignment="1" applyBorder="1" applyFont="1">
      <alignment vertical="center"/>
    </xf>
    <xf borderId="45" fillId="12" fontId="0" numFmtId="0" xfId="0" applyAlignment="1" applyBorder="1" applyFont="1">
      <alignment vertical="center"/>
    </xf>
    <xf borderId="30" fillId="0" fontId="0" numFmtId="164" xfId="0" applyAlignment="1" applyBorder="1" applyFont="1" applyNumberFormat="1">
      <alignment vertical="center"/>
    </xf>
    <xf borderId="70" fillId="0" fontId="0" numFmtId="165" xfId="0" applyAlignment="1" applyBorder="1" applyFont="1" applyNumberFormat="1">
      <alignment vertical="center"/>
    </xf>
    <xf borderId="9" fillId="6" fontId="0" numFmtId="164" xfId="0" applyAlignment="1" applyBorder="1" applyFont="1" applyNumberFormat="1">
      <alignment horizontal="center"/>
    </xf>
    <xf borderId="0" fillId="0" fontId="0" numFmtId="167" xfId="0" applyAlignment="1" applyFont="1" applyNumberFormat="1">
      <alignment horizontal="center"/>
    </xf>
    <xf borderId="69" fillId="12" fontId="0" numFmtId="0" xfId="0" applyAlignment="1" applyBorder="1" applyFont="1">
      <alignment vertical="center"/>
    </xf>
    <xf borderId="10" fillId="13" fontId="7" numFmtId="0" xfId="0" applyBorder="1" applyFill="1" applyFont="1"/>
    <xf borderId="11" fillId="13" fontId="0" numFmtId="0" xfId="0" applyBorder="1" applyFont="1"/>
    <xf borderId="11" fillId="13" fontId="7" numFmtId="0" xfId="0" applyBorder="1" applyFont="1"/>
    <xf borderId="12" fillId="13" fontId="7" numFmtId="0" xfId="0" applyBorder="1" applyFont="1"/>
    <xf borderId="19" fillId="13" fontId="7" numFmtId="0" xfId="0" applyAlignment="1" applyBorder="1" applyFont="1">
      <alignment horizontal="center"/>
    </xf>
    <xf borderId="39" fillId="14" fontId="0" numFmtId="0" xfId="0" applyAlignment="1" applyBorder="1" applyFill="1" applyFont="1">
      <alignment vertical="center"/>
    </xf>
    <xf borderId="40" fillId="10" fontId="0" numFmtId="168" xfId="0" applyAlignment="1" applyBorder="1" applyFont="1" applyNumberFormat="1">
      <alignment vertical="center"/>
    </xf>
    <xf borderId="43" fillId="14" fontId="0" numFmtId="0" xfId="0" applyAlignment="1" applyBorder="1" applyFont="1">
      <alignment vertical="center"/>
    </xf>
    <xf borderId="71" fillId="10" fontId="0" numFmtId="168" xfId="0" applyAlignment="1" applyBorder="1" applyFont="1" applyNumberFormat="1">
      <alignment vertical="center"/>
    </xf>
    <xf borderId="24" fillId="10" fontId="0" numFmtId="0" xfId="0" applyAlignment="1" applyBorder="1" applyFont="1">
      <alignment vertical="center"/>
    </xf>
    <xf borderId="47" fillId="14" fontId="0" numFmtId="0" xfId="0" applyAlignment="1" applyBorder="1" applyFont="1">
      <alignment vertical="center"/>
    </xf>
    <xf borderId="54" fillId="14" fontId="0" numFmtId="0" xfId="0" applyAlignment="1" applyBorder="1" applyFont="1">
      <alignment vertical="center"/>
    </xf>
    <xf borderId="57" fillId="14" fontId="0" numFmtId="0" xfId="0" applyAlignment="1" applyBorder="1" applyFont="1">
      <alignment vertical="center"/>
    </xf>
    <xf borderId="58" fillId="14" fontId="0" numFmtId="0" xfId="0" applyAlignment="1" applyBorder="1" applyFont="1">
      <alignment vertical="center"/>
    </xf>
    <xf borderId="60" fillId="14" fontId="0" numFmtId="0" xfId="0" applyAlignment="1" applyBorder="1" applyFont="1">
      <alignment vertical="center"/>
    </xf>
    <xf borderId="72" fillId="0" fontId="0" numFmtId="0" xfId="0" applyBorder="1" applyFont="1"/>
    <xf borderId="61" fillId="10" fontId="0" numFmtId="164" xfId="0" applyAlignment="1" applyBorder="1" applyFont="1" applyNumberFormat="1">
      <alignment vertical="center"/>
    </xf>
    <xf borderId="73" fillId="0" fontId="0" numFmtId="0" xfId="0" applyAlignment="1" applyBorder="1" applyFont="1">
      <alignment vertical="center"/>
    </xf>
    <xf borderId="44" fillId="0" fontId="0" numFmtId="1" xfId="0" applyAlignment="1" applyBorder="1" applyFont="1" applyNumberFormat="1">
      <alignment vertical="center"/>
    </xf>
    <xf borderId="71" fillId="10" fontId="0" numFmtId="0" xfId="0" applyAlignment="1" applyBorder="1" applyFont="1">
      <alignment vertical="center"/>
    </xf>
    <xf borderId="69" fillId="14" fontId="0" numFmtId="0" xfId="0" applyAlignment="1" applyBorder="1" applyFont="1">
      <alignment vertical="center"/>
    </xf>
    <xf borderId="4" fillId="3" fontId="0" numFmtId="164" xfId="0" applyBorder="1" applyFont="1" applyNumberFormat="1"/>
    <xf borderId="14" fillId="3" fontId="0" numFmtId="164" xfId="0" applyBorder="1" applyFont="1" applyNumberFormat="1"/>
    <xf borderId="74" fillId="10" fontId="12" numFmtId="0" xfId="0" applyAlignment="1" applyBorder="1" applyFont="1">
      <alignment horizontal="center"/>
    </xf>
    <xf borderId="65" fillId="0" fontId="2" numFmtId="0" xfId="0" applyBorder="1" applyFont="1"/>
    <xf borderId="75" fillId="0" fontId="2" numFmtId="0" xfId="0" applyBorder="1" applyFont="1"/>
    <xf borderId="76" fillId="0" fontId="2" numFmtId="0" xfId="0" applyBorder="1" applyFont="1"/>
    <xf borderId="77" fillId="0" fontId="2" numFmtId="0" xfId="0" applyBorder="1" applyFont="1"/>
    <xf borderId="78" fillId="0" fontId="2" numFmtId="0" xfId="0" applyBorder="1" applyFont="1"/>
    <xf borderId="0" fillId="0" fontId="8" numFmtId="0" xfId="0" applyAlignment="1" applyFont="1">
      <alignment horizontal="center" vertical="center"/>
    </xf>
    <xf borderId="24" fillId="8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168" xfId="0" applyAlignment="1" applyFont="1" applyNumberFormat="1">
      <alignment horizontal="center" vertical="center"/>
    </xf>
    <xf borderId="29" fillId="8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top"/>
    </xf>
    <xf borderId="36" fillId="8" fontId="5" numFmtId="164" xfId="0" applyAlignment="1" applyBorder="1" applyFont="1" applyNumberFormat="1">
      <alignment horizontal="center" vertical="center"/>
    </xf>
    <xf borderId="39" fillId="15" fontId="13" numFmtId="0" xfId="0" applyAlignment="1" applyBorder="1" applyFill="1" applyFont="1">
      <alignment vertical="center"/>
    </xf>
    <xf borderId="0" fillId="0" fontId="0" numFmtId="166" xfId="0" applyAlignment="1" applyFont="1" applyNumberFormat="1">
      <alignment vertical="center"/>
    </xf>
    <xf borderId="0" fillId="0" fontId="0" numFmtId="168" xfId="0" applyAlignment="1" applyFont="1" applyNumberFormat="1">
      <alignment vertical="center"/>
    </xf>
    <xf borderId="43" fillId="15" fontId="13" numFmtId="0" xfId="0" applyAlignment="1" applyBorder="1" applyFont="1">
      <alignment vertical="center"/>
    </xf>
    <xf borderId="47" fillId="15" fontId="13" numFmtId="0" xfId="0" applyAlignment="1" applyBorder="1" applyFont="1">
      <alignment vertical="center"/>
    </xf>
    <xf borderId="57" fillId="15" fontId="13" numFmtId="0" xfId="0" applyAlignment="1" applyBorder="1" applyFont="1">
      <alignment vertical="center"/>
    </xf>
    <xf borderId="40" fillId="10" fontId="0" numFmtId="166" xfId="0" applyAlignment="1" applyBorder="1" applyFont="1" applyNumberFormat="1">
      <alignment vertical="center"/>
    </xf>
    <xf borderId="45" fillId="10" fontId="0" numFmtId="166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1" fillId="3" fontId="5" numFmtId="0" xfId="0" applyAlignment="1" applyBorder="1" applyFont="1">
      <alignment horizontal="center" vertical="center"/>
    </xf>
    <xf borderId="79" fillId="3" fontId="5" numFmtId="0" xfId="0" applyAlignment="1" applyBorder="1" applyFont="1">
      <alignment horizontal="center" vertical="center"/>
    </xf>
    <xf borderId="80" fillId="15" fontId="14" numFmtId="0" xfId="0" applyAlignment="1" applyBorder="1" applyFont="1">
      <alignment horizontal="center" vertical="center"/>
    </xf>
    <xf borderId="80" fillId="0" fontId="0" numFmtId="0" xfId="0" applyAlignment="1" applyBorder="1" applyFont="1">
      <alignment horizontal="center" vertical="center"/>
    </xf>
    <xf borderId="81" fillId="0" fontId="0" numFmtId="166" xfId="0" applyAlignment="1" applyBorder="1" applyFont="1" applyNumberFormat="1">
      <alignment horizontal="center" vertical="center"/>
    </xf>
    <xf borderId="49" fillId="0" fontId="2" numFmtId="0" xfId="0" applyBorder="1" applyFont="1"/>
    <xf borderId="72" fillId="0" fontId="2" numFmtId="0" xfId="0" applyBorder="1" applyFont="1"/>
    <xf borderId="82" fillId="16" fontId="5" numFmtId="164" xfId="0" applyAlignment="1" applyBorder="1" applyFill="1" applyFont="1" applyNumberFormat="1">
      <alignment horizontal="center" vertical="center"/>
    </xf>
    <xf borderId="83" fillId="0" fontId="2" numFmtId="0" xfId="0" applyBorder="1" applyFont="1"/>
    <xf borderId="74" fillId="0" fontId="0" numFmtId="164" xfId="0" applyAlignment="1" applyBorder="1" applyFont="1" applyNumberFormat="1">
      <alignment vertical="center"/>
    </xf>
    <xf borderId="65" fillId="0" fontId="0" numFmtId="164" xfId="0" applyAlignment="1" applyBorder="1" applyFont="1" applyNumberFormat="1">
      <alignment vertical="center"/>
    </xf>
    <xf borderId="75" fillId="0" fontId="0" numFmtId="164" xfId="0" applyAlignment="1" applyBorder="1" applyFont="1" applyNumberFormat="1">
      <alignment vertical="center"/>
    </xf>
    <xf borderId="84" fillId="0" fontId="2" numFmtId="0" xfId="0" applyBorder="1" applyFont="1"/>
    <xf borderId="85" fillId="0" fontId="2" numFmtId="0" xfId="0" applyBorder="1" applyFont="1"/>
    <xf borderId="73" fillId="0" fontId="2" numFmtId="0" xfId="0" applyBorder="1" applyFont="1"/>
    <xf borderId="18" fillId="0" fontId="0" numFmtId="164" xfId="0" applyAlignment="1" applyBorder="1" applyFont="1" applyNumberFormat="1">
      <alignment vertical="center"/>
    </xf>
    <xf borderId="0" fillId="0" fontId="0" numFmtId="164" xfId="0" applyAlignment="1" applyFont="1" applyNumberFormat="1">
      <alignment vertical="center"/>
    </xf>
    <xf borderId="53" fillId="0" fontId="0" numFmtId="164" xfId="0" applyAlignment="1" applyBorder="1" applyFont="1" applyNumberFormat="1">
      <alignment vertical="center"/>
    </xf>
    <xf borderId="86" fillId="15" fontId="14" numFmtId="0" xfId="0" applyAlignment="1" applyBorder="1" applyFont="1">
      <alignment horizontal="center" vertical="center"/>
    </xf>
    <xf borderId="86" fillId="0" fontId="0" numFmtId="0" xfId="0" applyAlignment="1" applyBorder="1" applyFont="1">
      <alignment horizontal="center" vertical="center"/>
    </xf>
    <xf borderId="87" fillId="0" fontId="0" numFmtId="166" xfId="0" applyAlignment="1" applyBorder="1" applyFont="1" applyNumberFormat="1">
      <alignment horizontal="center" vertical="center"/>
    </xf>
    <xf borderId="50" fillId="0" fontId="2" numFmtId="0" xfId="0" applyBorder="1" applyFont="1"/>
    <xf borderId="88" fillId="16" fontId="5" numFmtId="164" xfId="0" applyAlignment="1" applyBorder="1" applyFont="1" applyNumberFormat="1">
      <alignment horizontal="center" vertical="center"/>
    </xf>
    <xf borderId="64" fillId="0" fontId="2" numFmtId="0" xfId="0" applyBorder="1" applyFont="1"/>
    <xf borderId="72" fillId="0" fontId="0" numFmtId="0" xfId="0" applyAlignment="1" applyBorder="1" applyFont="1">
      <alignment horizontal="center" vertical="center"/>
    </xf>
    <xf borderId="76" fillId="0" fontId="0" numFmtId="164" xfId="0" applyAlignment="1" applyBorder="1" applyFont="1" applyNumberFormat="1">
      <alignment vertical="center"/>
    </xf>
    <xf borderId="77" fillId="0" fontId="0" numFmtId="164" xfId="0" applyAlignment="1" applyBorder="1" applyFont="1" applyNumberFormat="1">
      <alignment vertical="center"/>
    </xf>
    <xf borderId="78" fillId="0" fontId="0" numFmtId="164" xfId="0" applyAlignment="1" applyBorder="1" applyFont="1" applyNumberFormat="1">
      <alignment vertical="center"/>
    </xf>
    <xf borderId="89" fillId="0" fontId="2" numFmtId="0" xfId="0" applyBorder="1" applyFont="1"/>
    <xf borderId="0" fillId="0" fontId="15" numFmtId="0" xfId="0" applyFont="1"/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0" numFmtId="0" xfId="0" applyAlignment="1" applyFont="1">
      <alignment horizontal="right"/>
    </xf>
    <xf borderId="0" fillId="0" fontId="5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86"/>
    <col customWidth="1" min="3" max="3" width="12.0"/>
    <col customWidth="1" min="4" max="10" width="8.86"/>
    <col customWidth="1" hidden="1" min="11" max="11" width="8.86"/>
    <col customWidth="1" min="12" max="26" width="8.86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</v>
      </c>
      <c r="B3" s="6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 t="s">
        <v>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 t="s">
        <v>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6</v>
      </c>
      <c r="B8" s="8"/>
      <c r="C8" s="9"/>
      <c r="D8" s="10"/>
      <c r="E8" s="4"/>
      <c r="F8" s="11" t="s">
        <v>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 t="s">
        <v>7</v>
      </c>
      <c r="B10" s="13">
        <v>320.0</v>
      </c>
      <c r="C10" s="14" t="str">
        <f>F8</f>
        <v>lb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 t="s">
        <v>8</v>
      </c>
      <c r="B11" s="13">
        <v>260.0</v>
      </c>
      <c r="C11" s="14" t="str">
        <f>F8</f>
        <v>lb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" t="s">
        <v>9</v>
      </c>
      <c r="B12" s="13">
        <v>420.0</v>
      </c>
      <c r="C12" s="14" t="str">
        <f>F8</f>
        <v>lb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10</v>
      </c>
      <c r="B14" s="16"/>
      <c r="C14" s="16"/>
      <c r="D14" s="16"/>
      <c r="E14" s="16"/>
      <c r="F14" s="16"/>
      <c r="G14" s="1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11</v>
      </c>
      <c r="B15" s="19"/>
      <c r="C15" s="19"/>
      <c r="D15" s="19"/>
      <c r="E15" s="19"/>
      <c r="F15" s="19"/>
      <c r="G15" s="2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1"/>
      <c r="B16" s="19"/>
      <c r="C16" s="19"/>
      <c r="D16" s="19"/>
      <c r="E16" s="19"/>
      <c r="F16" s="19"/>
      <c r="G16" s="2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12</v>
      </c>
      <c r="B17" s="19"/>
      <c r="C17" s="19"/>
      <c r="D17" s="19"/>
      <c r="E17" s="19"/>
      <c r="F17" s="19"/>
      <c r="G17" s="2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2" t="s">
        <v>13</v>
      </c>
      <c r="B18" s="23"/>
      <c r="C18" s="23"/>
      <c r="D18" s="23"/>
      <c r="E18" s="23"/>
      <c r="F18" s="23"/>
      <c r="G18" s="2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5" t="s">
        <v>14</v>
      </c>
      <c r="B21" s="26"/>
      <c r="C21" s="26"/>
      <c r="D21" s="26"/>
      <c r="E21" s="26"/>
      <c r="F21" s="26"/>
      <c r="G21" s="2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8" t="s">
        <v>15</v>
      </c>
      <c r="B22" s="29"/>
      <c r="C22" s="29"/>
      <c r="D22" s="29"/>
      <c r="E22" s="29"/>
      <c r="F22" s="29"/>
      <c r="G22" s="3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H1"/>
  </mergeCells>
  <dataValidations>
    <dataValidation type="list" allowBlank="1" showErrorMessage="1" sqref="F8">
      <formula1>$K$4:$K$5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10.29"/>
    <col customWidth="1" min="3" max="3" width="11.43"/>
    <col customWidth="1" min="4" max="4" width="7.43"/>
    <col customWidth="1" min="5" max="5" width="8.14"/>
    <col customWidth="1" min="6" max="6" width="7.86"/>
    <col customWidth="1" min="7" max="7" width="8.14"/>
    <col customWidth="1" min="8" max="8" width="7.86"/>
    <col customWidth="1" min="9" max="9" width="6.43"/>
    <col customWidth="1" min="10" max="10" width="7.43"/>
    <col customWidth="1" min="11" max="11" width="6.43"/>
    <col customWidth="1" min="12" max="12" width="7.43"/>
    <col customWidth="1" min="13" max="13" width="9.14"/>
    <col customWidth="1" min="14" max="14" width="48.0"/>
    <col customWidth="1" min="15" max="15" width="10.29"/>
    <col customWidth="1" min="16" max="16" width="11.43"/>
    <col customWidth="1" min="17" max="20" width="8.14"/>
    <col customWidth="1" min="21" max="21" width="8.71"/>
    <col customWidth="1" min="22" max="22" width="6.43"/>
    <col customWidth="1" min="23" max="23" width="8.71"/>
    <col customWidth="1" min="24" max="24" width="6.43"/>
    <col customWidth="1" min="25" max="25" width="7.43"/>
    <col customWidth="1" min="26" max="26" width="8.86"/>
    <col customWidth="1" min="27" max="27" width="48.0"/>
    <col customWidth="1" min="28" max="28" width="10.0"/>
    <col customWidth="1" min="29" max="29" width="11.43"/>
    <col customWidth="1" min="30" max="30" width="8.14"/>
    <col customWidth="1" min="31" max="31" width="10.0"/>
    <col customWidth="1" min="32" max="32" width="7.86"/>
    <col customWidth="1" min="33" max="33" width="8.14"/>
    <col customWidth="1" min="34" max="34" width="7.43"/>
    <col customWidth="1" min="35" max="35" width="8.14"/>
    <col customWidth="1" min="36" max="36" width="10.29"/>
    <col customWidth="1" min="37" max="37" width="8.14"/>
    <col customWidth="1" min="38" max="38" width="10.29"/>
    <col customWidth="1" min="39" max="39" width="8.86"/>
    <col customWidth="1" min="40" max="40" width="48.0"/>
    <col customWidth="1" min="41" max="41" width="9.43"/>
    <col customWidth="1" min="42" max="42" width="11.43"/>
    <col customWidth="1" min="43" max="43" width="8.71"/>
    <col customWidth="1" min="44" max="44" width="9.43"/>
    <col customWidth="1" min="45" max="45" width="7.43"/>
    <col customWidth="1" min="46" max="46" width="8.14"/>
    <col customWidth="1" min="47" max="47" width="8.71"/>
    <col customWidth="1" min="48" max="48" width="8.14"/>
    <col customWidth="1" min="49" max="49" width="10.29"/>
    <col customWidth="1" min="50" max="50" width="6.14"/>
    <col customWidth="1" min="51" max="51" width="13.0"/>
  </cols>
  <sheetData>
    <row r="1" ht="17.25" customHeight="1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3"/>
      <c r="X1" s="34"/>
      <c r="Y1" s="35"/>
      <c r="Z1" s="35"/>
      <c r="AA1" s="36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</row>
    <row r="2" ht="33.75" customHeight="1">
      <c r="A2" s="37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8" t="s">
        <v>16</v>
      </c>
      <c r="X2" s="39"/>
      <c r="Y2" s="39"/>
      <c r="Z2" s="39"/>
      <c r="AA2" s="40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</row>
    <row r="3" ht="33.75" customHeight="1">
      <c r="A3" s="37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41"/>
      <c r="X3" s="41"/>
      <c r="Y3" s="41"/>
      <c r="Z3" s="41"/>
      <c r="AA3" s="4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</row>
    <row r="4" ht="17.25" customHeight="1">
      <c r="A4" s="37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41"/>
      <c r="X4" s="41"/>
      <c r="Y4" s="41"/>
      <c r="Z4" s="41"/>
      <c r="AA4" s="41"/>
      <c r="AB4" s="32"/>
      <c r="AC4" s="42" t="s">
        <v>17</v>
      </c>
      <c r="AD4" s="2"/>
      <c r="AE4" s="3"/>
      <c r="AF4" s="31"/>
      <c r="AG4" s="32"/>
      <c r="AH4" s="32"/>
      <c r="AI4" s="32"/>
      <c r="AJ4" s="32"/>
      <c r="AK4" s="32"/>
      <c r="AL4" s="32"/>
      <c r="AM4" s="32"/>
      <c r="AN4" s="32"/>
      <c r="AO4" s="32"/>
      <c r="AP4" s="42" t="s">
        <v>17</v>
      </c>
      <c r="AQ4" s="2"/>
      <c r="AR4" s="3"/>
      <c r="AS4" s="31"/>
      <c r="AT4" s="32"/>
      <c r="AU4" s="32"/>
      <c r="AV4" s="32"/>
      <c r="AW4" s="32"/>
      <c r="AX4" s="32"/>
      <c r="AY4" s="32"/>
    </row>
    <row r="5" ht="24.0" customHeight="1">
      <c r="A5" s="37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1"/>
      <c r="AC5" s="43" t="s">
        <v>18</v>
      </c>
      <c r="AD5" s="44"/>
      <c r="AE5" s="45">
        <v>320.0</v>
      </c>
      <c r="AF5" s="32"/>
      <c r="AG5" s="46" t="s">
        <v>19</v>
      </c>
      <c r="AH5" s="47"/>
      <c r="AI5" s="47"/>
      <c r="AJ5" s="47"/>
      <c r="AK5" s="47"/>
      <c r="AL5" s="48"/>
      <c r="AM5" s="32"/>
      <c r="AN5" s="32"/>
      <c r="AO5" s="32"/>
      <c r="AP5" s="43" t="s">
        <v>18</v>
      </c>
      <c r="AQ5" s="44"/>
      <c r="AR5" s="45">
        <v>320.0</v>
      </c>
      <c r="AS5" s="32"/>
      <c r="AT5" s="46" t="s">
        <v>20</v>
      </c>
      <c r="AU5" s="47"/>
      <c r="AV5" s="47"/>
      <c r="AW5" s="47"/>
      <c r="AX5" s="47"/>
      <c r="AY5" s="48"/>
    </row>
    <row r="6" ht="24.0" customHeight="1">
      <c r="AC6" s="49" t="s">
        <v>21</v>
      </c>
      <c r="AD6" s="50"/>
      <c r="AE6" s="51">
        <v>235.0</v>
      </c>
      <c r="AF6" s="52"/>
      <c r="AG6" s="53" t="s">
        <v>22</v>
      </c>
      <c r="AH6" s="54"/>
      <c r="AI6" s="54"/>
      <c r="AJ6" s="54"/>
      <c r="AK6" s="54"/>
      <c r="AL6" s="55"/>
      <c r="AP6" s="49" t="s">
        <v>21</v>
      </c>
      <c r="AQ6" s="50"/>
      <c r="AR6" s="51">
        <v>235.0</v>
      </c>
      <c r="AS6" s="52"/>
      <c r="AT6" s="53" t="s">
        <v>23</v>
      </c>
      <c r="AU6" s="54"/>
      <c r="AV6" s="54"/>
      <c r="AW6" s="54"/>
      <c r="AX6" s="54"/>
      <c r="AY6" s="55"/>
    </row>
    <row r="7" ht="23.25" customHeight="1">
      <c r="A7" s="56" t="s">
        <v>24</v>
      </c>
      <c r="B7" s="31"/>
      <c r="H7" s="31"/>
      <c r="N7" s="56" t="s">
        <v>25</v>
      </c>
      <c r="O7" s="31"/>
      <c r="AA7" s="56" t="s">
        <v>26</v>
      </c>
      <c r="AC7" s="57" t="s">
        <v>27</v>
      </c>
      <c r="AD7" s="58"/>
      <c r="AE7" s="59">
        <v>420.0</v>
      </c>
      <c r="AF7" s="31"/>
      <c r="AN7" s="56" t="s">
        <v>28</v>
      </c>
      <c r="AO7" s="31"/>
      <c r="AP7" s="57" t="s">
        <v>27</v>
      </c>
      <c r="AQ7" s="58"/>
      <c r="AR7" s="60">
        <v>420.0</v>
      </c>
      <c r="AS7" s="31"/>
    </row>
    <row r="9">
      <c r="A9" s="61" t="s">
        <v>29</v>
      </c>
      <c r="C9" s="62" t="s">
        <v>30</v>
      </c>
      <c r="D9" s="63"/>
      <c r="E9" s="62" t="s">
        <v>31</v>
      </c>
      <c r="F9" s="63"/>
      <c r="G9" s="62" t="s">
        <v>32</v>
      </c>
      <c r="H9" s="63"/>
      <c r="I9" s="62" t="s">
        <v>33</v>
      </c>
      <c r="J9" s="63"/>
      <c r="K9" s="62" t="s">
        <v>34</v>
      </c>
      <c r="L9" s="63"/>
      <c r="N9" s="61" t="s">
        <v>35</v>
      </c>
      <c r="P9" s="62" t="s">
        <v>30</v>
      </c>
      <c r="Q9" s="63"/>
      <c r="R9" s="62" t="s">
        <v>31</v>
      </c>
      <c r="S9" s="63"/>
      <c r="T9" s="62" t="s">
        <v>32</v>
      </c>
      <c r="U9" s="63"/>
      <c r="V9" s="62" t="s">
        <v>33</v>
      </c>
      <c r="W9" s="63"/>
      <c r="X9" s="62" t="s">
        <v>34</v>
      </c>
      <c r="Y9" s="63"/>
      <c r="AA9" s="61" t="s">
        <v>36</v>
      </c>
      <c r="AC9" s="64" t="s">
        <v>30</v>
      </c>
      <c r="AD9" s="65"/>
      <c r="AE9" s="64" t="s">
        <v>31</v>
      </c>
      <c r="AF9" s="65"/>
      <c r="AG9" s="64" t="s">
        <v>32</v>
      </c>
      <c r="AH9" s="65"/>
      <c r="AI9" s="64" t="s">
        <v>33</v>
      </c>
      <c r="AJ9" s="65"/>
      <c r="AK9" s="64" t="s">
        <v>34</v>
      </c>
      <c r="AL9" s="63"/>
      <c r="AN9" s="61" t="s">
        <v>37</v>
      </c>
      <c r="AP9" s="64" t="s">
        <v>30</v>
      </c>
      <c r="AQ9" s="65"/>
      <c r="AR9" s="64" t="s">
        <v>31</v>
      </c>
      <c r="AS9" s="65"/>
      <c r="AT9" s="64" t="s">
        <v>32</v>
      </c>
      <c r="AU9" s="65"/>
      <c r="AV9" s="64" t="s">
        <v>33</v>
      </c>
      <c r="AW9" s="65"/>
      <c r="AX9" s="64" t="s">
        <v>34</v>
      </c>
      <c r="AY9" s="63"/>
    </row>
    <row r="10">
      <c r="A10" s="66" t="s">
        <v>7</v>
      </c>
      <c r="B10" s="67" t="s">
        <v>38</v>
      </c>
      <c r="C10" s="68">
        <f>IF(('Initial Inputs'!$F$8="kg"),MROUND(('Initial Inputs'!$B$10*0.725),2.5),MROUND(('Initial Inputs'!$B$10*0.725),5))</f>
        <v>230</v>
      </c>
      <c r="D10" s="69" t="s">
        <v>39</v>
      </c>
      <c r="E10" s="68">
        <f t="shared" ref="E10:E12" si="1">C10</f>
        <v>230</v>
      </c>
      <c r="F10" s="69" t="s">
        <v>39</v>
      </c>
      <c r="G10" s="70"/>
      <c r="H10" s="71"/>
      <c r="I10" s="70"/>
      <c r="J10" s="71"/>
      <c r="K10" s="70"/>
      <c r="L10" s="71"/>
      <c r="N10" s="66" t="s">
        <v>7</v>
      </c>
      <c r="O10" s="67" t="s">
        <v>38</v>
      </c>
      <c r="P10" s="68">
        <f>IF(('Initial Inputs'!$F$8="kg"),MROUND(('Initial Inputs'!$B$10*0.725),2.5),MROUND(('Initial Inputs'!$B$10*0.725),5))</f>
        <v>230</v>
      </c>
      <c r="Q10" s="69" t="s">
        <v>39</v>
      </c>
      <c r="R10" s="68">
        <f t="shared" ref="R10:R12" si="2">P10</f>
        <v>230</v>
      </c>
      <c r="S10" s="69" t="s">
        <v>39</v>
      </c>
      <c r="T10" s="68">
        <f t="shared" ref="T10:T11" si="3">R10</f>
        <v>230</v>
      </c>
      <c r="U10" s="69" t="s">
        <v>39</v>
      </c>
      <c r="V10" s="70"/>
      <c r="W10" s="71"/>
      <c r="X10" s="70"/>
      <c r="Y10" s="71"/>
      <c r="AA10" s="66" t="s">
        <v>7</v>
      </c>
      <c r="AB10" s="67" t="s">
        <v>38</v>
      </c>
      <c r="AC10" s="68">
        <f>IF(('Initial Inputs'!$F$8="kg"),MROUND(($AE$5*0.725),2.5),MROUND(($AE$5*0.725),5))</f>
        <v>230</v>
      </c>
      <c r="AD10" s="69" t="s">
        <v>39</v>
      </c>
      <c r="AE10" s="68">
        <f t="shared" ref="AE10:AE12" si="4">AC10</f>
        <v>230</v>
      </c>
      <c r="AF10" s="69" t="s">
        <v>39</v>
      </c>
      <c r="AG10" s="68">
        <f t="shared" ref="AG10:AG12" si="5">AE10</f>
        <v>230</v>
      </c>
      <c r="AH10" s="69" t="s">
        <v>39</v>
      </c>
      <c r="AI10" s="70"/>
      <c r="AJ10" s="71"/>
      <c r="AK10" s="70"/>
      <c r="AL10" s="71"/>
      <c r="AN10" s="66" t="s">
        <v>7</v>
      </c>
      <c r="AO10" s="67" t="s">
        <v>38</v>
      </c>
      <c r="AP10" s="68">
        <f>IF(('Initial Inputs'!$F$8="kg"),MROUND(($AR$5*0.8),2.5),MROUND(($AR$5*0.8),5))</f>
        <v>255</v>
      </c>
      <c r="AQ10" s="69" t="s">
        <v>40</v>
      </c>
      <c r="AR10" s="68">
        <f t="shared" ref="AR10:AR12" si="6">AP10</f>
        <v>255</v>
      </c>
      <c r="AS10" s="69" t="s">
        <v>40</v>
      </c>
      <c r="AT10" s="68">
        <f t="shared" ref="AT10:AT11" si="7">AR10</f>
        <v>255</v>
      </c>
      <c r="AU10" s="72" t="s">
        <v>40</v>
      </c>
      <c r="AV10" s="68">
        <f t="shared" ref="AV10:AV11" si="8">AT10</f>
        <v>255</v>
      </c>
      <c r="AW10" s="69" t="s">
        <v>40</v>
      </c>
      <c r="AX10" s="70"/>
      <c r="AY10" s="71"/>
    </row>
    <row r="11">
      <c r="A11" s="73" t="s">
        <v>8</v>
      </c>
      <c r="B11" s="74" t="s">
        <v>38</v>
      </c>
      <c r="C11" s="75">
        <f>IF(('Initial Inputs'!$F$8="kg"),MROUND(('Initial Inputs'!$B$11*0.725),2.5),MROUND(('Initial Inputs'!$B$11*0.725),5))</f>
        <v>190</v>
      </c>
      <c r="D11" s="76" t="s">
        <v>39</v>
      </c>
      <c r="E11" s="77">
        <f t="shared" si="1"/>
        <v>190</v>
      </c>
      <c r="F11" s="76" t="s">
        <v>39</v>
      </c>
      <c r="G11" s="78"/>
      <c r="H11" s="79"/>
      <c r="I11" s="78"/>
      <c r="J11" s="79"/>
      <c r="K11" s="78"/>
      <c r="L11" s="79"/>
      <c r="N11" s="73" t="s">
        <v>8</v>
      </c>
      <c r="O11" s="74" t="s">
        <v>38</v>
      </c>
      <c r="P11" s="75">
        <f>IF(('Initial Inputs'!$F$8="kg"),MROUND(('Initial Inputs'!$B$11*0.725),2.5),MROUND(('Initial Inputs'!$B$11*0.725),5))</f>
        <v>190</v>
      </c>
      <c r="Q11" s="76" t="s">
        <v>39</v>
      </c>
      <c r="R11" s="77">
        <f t="shared" si="2"/>
        <v>190</v>
      </c>
      <c r="S11" s="76" t="s">
        <v>39</v>
      </c>
      <c r="T11" s="77">
        <f t="shared" si="3"/>
        <v>190</v>
      </c>
      <c r="U11" s="76" t="s">
        <v>39</v>
      </c>
      <c r="V11" s="78"/>
      <c r="W11" s="79"/>
      <c r="X11" s="78"/>
      <c r="Y11" s="79"/>
      <c r="AA11" s="73" t="s">
        <v>8</v>
      </c>
      <c r="AB11" s="74" t="s">
        <v>38</v>
      </c>
      <c r="AC11" s="75">
        <f>IF(('Initial Inputs'!$F$8="kg"),MROUND(($AE$6*0.725),2.5),MROUND(($AE$6*0.725),5))</f>
        <v>170</v>
      </c>
      <c r="AD11" s="76" t="s">
        <v>39</v>
      </c>
      <c r="AE11" s="75">
        <f t="shared" si="4"/>
        <v>170</v>
      </c>
      <c r="AF11" s="76" t="s">
        <v>39</v>
      </c>
      <c r="AG11" s="75">
        <f t="shared" si="5"/>
        <v>170</v>
      </c>
      <c r="AH11" s="76" t="s">
        <v>39</v>
      </c>
      <c r="AI11" s="78"/>
      <c r="AJ11" s="79"/>
      <c r="AK11" s="78"/>
      <c r="AL11" s="79"/>
      <c r="AN11" s="73" t="s">
        <v>8</v>
      </c>
      <c r="AO11" s="74" t="s">
        <v>38</v>
      </c>
      <c r="AP11" s="75">
        <f>IF(('Initial Inputs'!$F$8="kg"),MROUND(($AR$6*0.8),2.5),MROUND(($AR$6*0.8),5))</f>
        <v>190</v>
      </c>
      <c r="AQ11" s="80" t="s">
        <v>40</v>
      </c>
      <c r="AR11" s="75">
        <f t="shared" si="6"/>
        <v>190</v>
      </c>
      <c r="AS11" s="80" t="s">
        <v>40</v>
      </c>
      <c r="AT11" s="75">
        <f t="shared" si="7"/>
        <v>190</v>
      </c>
      <c r="AU11" s="76" t="s">
        <v>40</v>
      </c>
      <c r="AV11" s="75">
        <f t="shared" si="8"/>
        <v>190</v>
      </c>
      <c r="AW11" s="80" t="s">
        <v>40</v>
      </c>
      <c r="AX11" s="78"/>
      <c r="AY11" s="79"/>
    </row>
    <row r="12">
      <c r="A12" s="81" t="s">
        <v>9</v>
      </c>
      <c r="B12" s="82" t="s">
        <v>38</v>
      </c>
      <c r="C12" s="83">
        <f>IF(('Initial Inputs'!$F$8="kg"),MROUND(('Initial Inputs'!$B$12*0.725),2.5),MROUND(('Initial Inputs'!$B$12*0.725),5))</f>
        <v>305</v>
      </c>
      <c r="D12" s="84" t="s">
        <v>41</v>
      </c>
      <c r="E12" s="83">
        <f t="shared" si="1"/>
        <v>305</v>
      </c>
      <c r="F12" s="84" t="s">
        <v>41</v>
      </c>
      <c r="G12" s="85"/>
      <c r="H12" s="86"/>
      <c r="I12" s="85"/>
      <c r="J12" s="86"/>
      <c r="K12" s="85"/>
      <c r="L12" s="86"/>
      <c r="N12" s="81" t="s">
        <v>9</v>
      </c>
      <c r="O12" s="82" t="s">
        <v>38</v>
      </c>
      <c r="P12" s="83">
        <f>IF(('Initial Inputs'!$F$8="kg"),MROUND(('Initial Inputs'!$B$12*0.725),2.5),MROUND(('Initial Inputs'!$B$12*0.725),5))</f>
        <v>305</v>
      </c>
      <c r="Q12" s="84" t="s">
        <v>41</v>
      </c>
      <c r="R12" s="83">
        <f t="shared" si="2"/>
        <v>305</v>
      </c>
      <c r="S12" s="84" t="s">
        <v>41</v>
      </c>
      <c r="T12" s="85"/>
      <c r="U12" s="86"/>
      <c r="V12" s="85"/>
      <c r="W12" s="86"/>
      <c r="X12" s="85"/>
      <c r="Y12" s="86"/>
      <c r="AA12" s="81" t="s">
        <v>9</v>
      </c>
      <c r="AB12" s="82" t="s">
        <v>38</v>
      </c>
      <c r="AC12" s="83">
        <f>IF(('Initial Inputs'!$F$8="kg"),MROUND(($AE$7*0.725),2.5),MROUND(($AE$7*0.725),5))</f>
        <v>305</v>
      </c>
      <c r="AD12" s="84" t="s">
        <v>41</v>
      </c>
      <c r="AE12" s="83">
        <f t="shared" si="4"/>
        <v>305</v>
      </c>
      <c r="AF12" s="84" t="s">
        <v>41</v>
      </c>
      <c r="AG12" s="83">
        <f t="shared" si="5"/>
        <v>305</v>
      </c>
      <c r="AH12" s="84" t="s">
        <v>41</v>
      </c>
      <c r="AI12" s="85"/>
      <c r="AJ12" s="86"/>
      <c r="AK12" s="85"/>
      <c r="AL12" s="86"/>
      <c r="AN12" s="81" t="s">
        <v>9</v>
      </c>
      <c r="AO12" s="82" t="s">
        <v>38</v>
      </c>
      <c r="AP12" s="83">
        <f>IF(('Initial Inputs'!$F$8="kg"),MROUND(($AR$7*0.75),2.5),MROUND(($AR$7*0.75),5))</f>
        <v>315</v>
      </c>
      <c r="AQ12" s="84" t="s">
        <v>40</v>
      </c>
      <c r="AR12" s="83">
        <f t="shared" si="6"/>
        <v>315</v>
      </c>
      <c r="AS12" s="84" t="s">
        <v>40</v>
      </c>
      <c r="AT12" s="87"/>
      <c r="AU12" s="86"/>
      <c r="AV12" s="85"/>
      <c r="AW12" s="86"/>
      <c r="AX12" s="85"/>
      <c r="AY12" s="86"/>
    </row>
    <row r="14">
      <c r="A14" s="61" t="s">
        <v>42</v>
      </c>
      <c r="C14" s="62" t="s">
        <v>30</v>
      </c>
      <c r="D14" s="63"/>
      <c r="E14" s="62" t="s">
        <v>31</v>
      </c>
      <c r="F14" s="63"/>
      <c r="G14" s="62" t="s">
        <v>32</v>
      </c>
      <c r="H14" s="63"/>
      <c r="I14" s="62" t="s">
        <v>33</v>
      </c>
      <c r="J14" s="63"/>
      <c r="K14" s="62" t="s">
        <v>34</v>
      </c>
      <c r="L14" s="63"/>
      <c r="N14" s="61" t="s">
        <v>43</v>
      </c>
      <c r="P14" s="62" t="s">
        <v>30</v>
      </c>
      <c r="Q14" s="63"/>
      <c r="R14" s="62" t="s">
        <v>31</v>
      </c>
      <c r="S14" s="63"/>
      <c r="T14" s="62" t="s">
        <v>32</v>
      </c>
      <c r="U14" s="63"/>
      <c r="V14" s="62" t="s">
        <v>33</v>
      </c>
      <c r="W14" s="63"/>
      <c r="X14" s="62" t="s">
        <v>34</v>
      </c>
      <c r="Y14" s="63"/>
      <c r="AA14" s="61" t="s">
        <v>44</v>
      </c>
      <c r="AC14" s="64" t="s">
        <v>30</v>
      </c>
      <c r="AD14" s="65"/>
      <c r="AE14" s="64" t="s">
        <v>31</v>
      </c>
      <c r="AF14" s="65"/>
      <c r="AG14" s="64" t="s">
        <v>32</v>
      </c>
      <c r="AH14" s="65"/>
      <c r="AI14" s="64" t="s">
        <v>33</v>
      </c>
      <c r="AJ14" s="65"/>
      <c r="AK14" s="64" t="s">
        <v>34</v>
      </c>
      <c r="AL14" s="63"/>
      <c r="AN14" s="61" t="s">
        <v>45</v>
      </c>
      <c r="AP14" s="64" t="s">
        <v>30</v>
      </c>
      <c r="AQ14" s="65"/>
      <c r="AR14" s="64" t="s">
        <v>31</v>
      </c>
      <c r="AS14" s="65"/>
      <c r="AT14" s="64" t="s">
        <v>32</v>
      </c>
      <c r="AU14" s="65"/>
      <c r="AV14" s="64" t="s">
        <v>33</v>
      </c>
      <c r="AW14" s="65"/>
      <c r="AX14" s="64" t="s">
        <v>34</v>
      </c>
      <c r="AY14" s="63"/>
    </row>
    <row r="15">
      <c r="A15" s="66" t="s">
        <v>46</v>
      </c>
      <c r="B15" s="88" t="s">
        <v>38</v>
      </c>
      <c r="C15" s="89"/>
      <c r="D15" s="72" t="s">
        <v>47</v>
      </c>
      <c r="E15" s="89"/>
      <c r="F15" s="69" t="s">
        <v>47</v>
      </c>
      <c r="G15" s="70"/>
      <c r="H15" s="71"/>
      <c r="I15" s="70"/>
      <c r="J15" s="71"/>
      <c r="K15" s="70"/>
      <c r="L15" s="71"/>
      <c r="N15" s="66" t="s">
        <v>46</v>
      </c>
      <c r="O15" s="88" t="s">
        <v>38</v>
      </c>
      <c r="P15" s="89"/>
      <c r="Q15" s="72" t="s">
        <v>47</v>
      </c>
      <c r="R15" s="89"/>
      <c r="S15" s="69" t="s">
        <v>47</v>
      </c>
      <c r="T15" s="70"/>
      <c r="U15" s="71"/>
      <c r="V15" s="70"/>
      <c r="W15" s="71"/>
      <c r="X15" s="70"/>
      <c r="Y15" s="71"/>
      <c r="AA15" s="66" t="s">
        <v>46</v>
      </c>
      <c r="AB15" s="88" t="s">
        <v>38</v>
      </c>
      <c r="AC15" s="89"/>
      <c r="AD15" s="72" t="s">
        <v>47</v>
      </c>
      <c r="AE15" s="89"/>
      <c r="AF15" s="69" t="s">
        <v>47</v>
      </c>
      <c r="AG15" s="70"/>
      <c r="AH15" s="71"/>
      <c r="AI15" s="70"/>
      <c r="AJ15" s="71"/>
      <c r="AK15" s="70"/>
      <c r="AL15" s="71"/>
      <c r="AN15" s="66" t="s">
        <v>48</v>
      </c>
      <c r="AO15" s="88" t="s">
        <v>38</v>
      </c>
      <c r="AP15" s="89"/>
      <c r="AQ15" s="72" t="s">
        <v>49</v>
      </c>
      <c r="AR15" s="89"/>
      <c r="AS15" s="69" t="s">
        <v>49</v>
      </c>
      <c r="AT15" s="70"/>
      <c r="AU15" s="71"/>
      <c r="AV15" s="70"/>
      <c r="AW15" s="71"/>
      <c r="AX15" s="70"/>
      <c r="AY15" s="71"/>
    </row>
    <row r="16">
      <c r="A16" s="73" t="s">
        <v>50</v>
      </c>
      <c r="B16" s="90" t="s">
        <v>38</v>
      </c>
      <c r="C16" s="91"/>
      <c r="D16" s="76" t="s">
        <v>47</v>
      </c>
      <c r="E16" s="92"/>
      <c r="F16" s="93" t="s">
        <v>47</v>
      </c>
      <c r="G16" s="94"/>
      <c r="H16" s="80" t="s">
        <v>47</v>
      </c>
      <c r="I16" s="78"/>
      <c r="J16" s="79"/>
      <c r="K16" s="78"/>
      <c r="L16" s="79"/>
      <c r="M16" s="95"/>
      <c r="N16" s="96" t="s">
        <v>50</v>
      </c>
      <c r="O16" s="90" t="s">
        <v>38</v>
      </c>
      <c r="P16" s="91"/>
      <c r="Q16" s="76" t="s">
        <v>47</v>
      </c>
      <c r="R16" s="92"/>
      <c r="S16" s="93" t="s">
        <v>47</v>
      </c>
      <c r="T16" s="94"/>
      <c r="U16" s="80" t="s">
        <v>47</v>
      </c>
      <c r="V16" s="78"/>
      <c r="W16" s="79"/>
      <c r="X16" s="78"/>
      <c r="Y16" s="79"/>
      <c r="Z16" s="95"/>
      <c r="AA16" s="96" t="s">
        <v>50</v>
      </c>
      <c r="AB16" s="90" t="s">
        <v>38</v>
      </c>
      <c r="AC16" s="91"/>
      <c r="AD16" s="76" t="s">
        <v>47</v>
      </c>
      <c r="AE16" s="92"/>
      <c r="AF16" s="93" t="s">
        <v>47</v>
      </c>
      <c r="AG16" s="94"/>
      <c r="AH16" s="80" t="s">
        <v>47</v>
      </c>
      <c r="AI16" s="78"/>
      <c r="AJ16" s="79"/>
      <c r="AK16" s="78"/>
      <c r="AL16" s="79"/>
      <c r="AN16" s="97" t="s">
        <v>51</v>
      </c>
      <c r="AO16" s="90" t="s">
        <v>38</v>
      </c>
      <c r="AP16" s="91"/>
      <c r="AQ16" s="76" t="s">
        <v>49</v>
      </c>
      <c r="AR16" s="92"/>
      <c r="AS16" s="93" t="s">
        <v>49</v>
      </c>
      <c r="AT16" s="78"/>
      <c r="AU16" s="78"/>
      <c r="AV16" s="78"/>
      <c r="AW16" s="79"/>
      <c r="AX16" s="78"/>
      <c r="AY16" s="79"/>
    </row>
    <row r="17">
      <c r="A17" s="73" t="s">
        <v>52</v>
      </c>
      <c r="B17" s="90" t="s">
        <v>38</v>
      </c>
      <c r="C17" s="92"/>
      <c r="D17" s="80" t="s">
        <v>47</v>
      </c>
      <c r="E17" s="92"/>
      <c r="F17" s="76" t="s">
        <v>47</v>
      </c>
      <c r="G17" s="78"/>
      <c r="H17" s="79"/>
      <c r="I17" s="78"/>
      <c r="J17" s="79"/>
      <c r="K17" s="78"/>
      <c r="L17" s="79"/>
      <c r="M17" s="95"/>
      <c r="N17" s="96" t="s">
        <v>52</v>
      </c>
      <c r="O17" s="90" t="s">
        <v>38</v>
      </c>
      <c r="P17" s="92"/>
      <c r="Q17" s="80" t="s">
        <v>47</v>
      </c>
      <c r="R17" s="92"/>
      <c r="S17" s="76" t="s">
        <v>47</v>
      </c>
      <c r="T17" s="78"/>
      <c r="U17" s="79"/>
      <c r="V17" s="78"/>
      <c r="W17" s="79"/>
      <c r="X17" s="78"/>
      <c r="Y17" s="79"/>
      <c r="Z17" s="95"/>
      <c r="AA17" s="96" t="s">
        <v>52</v>
      </c>
      <c r="AB17" s="90" t="s">
        <v>38</v>
      </c>
      <c r="AC17" s="92"/>
      <c r="AD17" s="80" t="s">
        <v>47</v>
      </c>
      <c r="AE17" s="92"/>
      <c r="AF17" s="76" t="s">
        <v>47</v>
      </c>
      <c r="AG17" s="78"/>
      <c r="AH17" s="79"/>
      <c r="AI17" s="78"/>
      <c r="AJ17" s="79"/>
      <c r="AK17" s="78"/>
      <c r="AL17" s="79"/>
      <c r="AN17" s="73" t="s">
        <v>53</v>
      </c>
      <c r="AO17" s="90" t="s">
        <v>38</v>
      </c>
      <c r="AP17" s="92"/>
      <c r="AQ17" s="80" t="s">
        <v>47</v>
      </c>
      <c r="AR17" s="92"/>
      <c r="AS17" s="76" t="s">
        <v>47</v>
      </c>
      <c r="AT17" s="92"/>
      <c r="AU17" s="76" t="s">
        <v>47</v>
      </c>
      <c r="AV17" s="92"/>
      <c r="AW17" s="76" t="s">
        <v>47</v>
      </c>
      <c r="AX17" s="78"/>
      <c r="AY17" s="79"/>
    </row>
    <row r="18">
      <c r="A18" s="73" t="s">
        <v>54</v>
      </c>
      <c r="B18" s="90" t="s">
        <v>38</v>
      </c>
      <c r="C18" s="92"/>
      <c r="D18" s="90" t="s">
        <v>55</v>
      </c>
      <c r="E18" s="92"/>
      <c r="F18" s="90" t="s">
        <v>55</v>
      </c>
      <c r="G18" s="78"/>
      <c r="H18" s="79"/>
      <c r="I18" s="78"/>
      <c r="J18" s="79"/>
      <c r="K18" s="78"/>
      <c r="L18" s="79"/>
      <c r="M18" s="95"/>
      <c r="N18" s="96" t="s">
        <v>54</v>
      </c>
      <c r="O18" s="90" t="s">
        <v>38</v>
      </c>
      <c r="P18" s="92"/>
      <c r="Q18" s="90" t="s">
        <v>55</v>
      </c>
      <c r="R18" s="92"/>
      <c r="S18" s="90" t="s">
        <v>55</v>
      </c>
      <c r="T18" s="78"/>
      <c r="U18" s="79"/>
      <c r="V18" s="78"/>
      <c r="W18" s="79"/>
      <c r="X18" s="78"/>
      <c r="Y18" s="79"/>
      <c r="Z18" s="95"/>
      <c r="AA18" s="96" t="s">
        <v>54</v>
      </c>
      <c r="AB18" s="90" t="s">
        <v>38</v>
      </c>
      <c r="AC18" s="92"/>
      <c r="AD18" s="90" t="s">
        <v>55</v>
      </c>
      <c r="AE18" s="92"/>
      <c r="AF18" s="90" t="s">
        <v>55</v>
      </c>
      <c r="AG18" s="78"/>
      <c r="AH18" s="79"/>
      <c r="AI18" s="78"/>
      <c r="AJ18" s="79"/>
      <c r="AK18" s="78"/>
      <c r="AL18" s="79"/>
      <c r="AN18" s="73" t="s">
        <v>46</v>
      </c>
      <c r="AO18" s="90" t="s">
        <v>38</v>
      </c>
      <c r="AP18" s="92"/>
      <c r="AQ18" s="90" t="s">
        <v>47</v>
      </c>
      <c r="AR18" s="92"/>
      <c r="AS18" s="90" t="s">
        <v>47</v>
      </c>
      <c r="AT18" s="78"/>
      <c r="AU18" s="79"/>
      <c r="AV18" s="78"/>
      <c r="AW18" s="79"/>
      <c r="AX18" s="78"/>
      <c r="AY18" s="79"/>
    </row>
    <row r="19">
      <c r="A19" s="73" t="s">
        <v>56</v>
      </c>
      <c r="B19" s="90" t="s">
        <v>38</v>
      </c>
      <c r="C19" s="92"/>
      <c r="D19" s="90" t="s">
        <v>47</v>
      </c>
      <c r="E19" s="92"/>
      <c r="F19" s="90" t="s">
        <v>47</v>
      </c>
      <c r="G19" s="94"/>
      <c r="H19" s="90" t="s">
        <v>47</v>
      </c>
      <c r="I19" s="94"/>
      <c r="J19" s="90" t="s">
        <v>47</v>
      </c>
      <c r="K19" s="94"/>
      <c r="L19" s="90" t="s">
        <v>47</v>
      </c>
      <c r="M19" s="95"/>
      <c r="N19" s="96" t="s">
        <v>56</v>
      </c>
      <c r="O19" s="90" t="s">
        <v>38</v>
      </c>
      <c r="P19" s="92"/>
      <c r="Q19" s="90" t="s">
        <v>47</v>
      </c>
      <c r="R19" s="92"/>
      <c r="S19" s="90" t="s">
        <v>47</v>
      </c>
      <c r="T19" s="94"/>
      <c r="U19" s="90" t="s">
        <v>47</v>
      </c>
      <c r="V19" s="94"/>
      <c r="W19" s="90" t="s">
        <v>47</v>
      </c>
      <c r="X19" s="94"/>
      <c r="Y19" s="90" t="s">
        <v>47</v>
      </c>
      <c r="Z19" s="95"/>
      <c r="AA19" s="96" t="s">
        <v>56</v>
      </c>
      <c r="AB19" s="90" t="s">
        <v>38</v>
      </c>
      <c r="AC19" s="92"/>
      <c r="AD19" s="90" t="s">
        <v>47</v>
      </c>
      <c r="AE19" s="92"/>
      <c r="AF19" s="90" t="s">
        <v>47</v>
      </c>
      <c r="AG19" s="94"/>
      <c r="AH19" s="90" t="s">
        <v>47</v>
      </c>
      <c r="AI19" s="94"/>
      <c r="AJ19" s="90" t="s">
        <v>47</v>
      </c>
      <c r="AK19" s="94"/>
      <c r="AL19" s="90" t="s">
        <v>47</v>
      </c>
      <c r="AN19" s="73" t="s">
        <v>50</v>
      </c>
      <c r="AO19" s="90" t="s">
        <v>38</v>
      </c>
      <c r="AP19" s="92"/>
      <c r="AQ19" s="90" t="s">
        <v>47</v>
      </c>
      <c r="AR19" s="92"/>
      <c r="AS19" s="90" t="s">
        <v>47</v>
      </c>
      <c r="AT19" s="94"/>
      <c r="AU19" s="90" t="s">
        <v>47</v>
      </c>
      <c r="AV19" s="78"/>
      <c r="AW19" s="79"/>
      <c r="AX19" s="78"/>
      <c r="AY19" s="79"/>
    </row>
    <row r="20">
      <c r="A20" s="73" t="s">
        <v>57</v>
      </c>
      <c r="B20" s="90" t="s">
        <v>38</v>
      </c>
      <c r="C20" s="92"/>
      <c r="D20" s="90" t="s">
        <v>58</v>
      </c>
      <c r="E20" s="92"/>
      <c r="F20" s="76" t="s">
        <v>59</v>
      </c>
      <c r="G20" s="94"/>
      <c r="H20" s="98" t="s">
        <v>59</v>
      </c>
      <c r="I20" s="94"/>
      <c r="J20" s="98" t="s">
        <v>59</v>
      </c>
      <c r="K20" s="78"/>
      <c r="L20" s="79"/>
      <c r="M20" s="95"/>
      <c r="N20" s="96" t="s">
        <v>57</v>
      </c>
      <c r="O20" s="90" t="s">
        <v>38</v>
      </c>
      <c r="P20" s="92"/>
      <c r="Q20" s="90" t="s">
        <v>58</v>
      </c>
      <c r="R20" s="92"/>
      <c r="S20" s="76" t="s">
        <v>59</v>
      </c>
      <c r="T20" s="94"/>
      <c r="U20" s="98" t="s">
        <v>59</v>
      </c>
      <c r="V20" s="94"/>
      <c r="W20" s="98" t="s">
        <v>59</v>
      </c>
      <c r="X20" s="78"/>
      <c r="Y20" s="79"/>
      <c r="Z20" s="95"/>
      <c r="AA20" s="96" t="s">
        <v>57</v>
      </c>
      <c r="AB20" s="90" t="s">
        <v>38</v>
      </c>
      <c r="AC20" s="92"/>
      <c r="AD20" s="90" t="s">
        <v>58</v>
      </c>
      <c r="AE20" s="92"/>
      <c r="AF20" s="76" t="s">
        <v>59</v>
      </c>
      <c r="AG20" s="94"/>
      <c r="AH20" s="98" t="s">
        <v>59</v>
      </c>
      <c r="AI20" s="94"/>
      <c r="AJ20" s="98" t="s">
        <v>59</v>
      </c>
      <c r="AK20" s="78"/>
      <c r="AL20" s="79"/>
      <c r="AN20" s="73" t="s">
        <v>52</v>
      </c>
      <c r="AO20" s="90" t="s">
        <v>38</v>
      </c>
      <c r="AP20" s="92"/>
      <c r="AQ20" s="90" t="s">
        <v>47</v>
      </c>
      <c r="AR20" s="92"/>
      <c r="AS20" s="76" t="s">
        <v>47</v>
      </c>
      <c r="AT20" s="78"/>
      <c r="AU20" s="79"/>
      <c r="AV20" s="78"/>
      <c r="AW20" s="79"/>
      <c r="AX20" s="78"/>
      <c r="AY20" s="79"/>
    </row>
    <row r="21" ht="15.75" customHeight="1">
      <c r="A21" s="99" t="s">
        <v>60</v>
      </c>
      <c r="B21" s="90" t="s">
        <v>38</v>
      </c>
      <c r="C21" s="92"/>
      <c r="D21" s="90" t="s">
        <v>47</v>
      </c>
      <c r="E21" s="92"/>
      <c r="F21" s="90" t="s">
        <v>47</v>
      </c>
      <c r="G21" s="94"/>
      <c r="H21" s="90" t="s">
        <v>47</v>
      </c>
      <c r="I21" s="94"/>
      <c r="J21" s="90" t="s">
        <v>47</v>
      </c>
      <c r="K21" s="94"/>
      <c r="L21" s="90" t="s">
        <v>47</v>
      </c>
      <c r="M21" s="95"/>
      <c r="N21" s="100" t="s">
        <v>60</v>
      </c>
      <c r="O21" s="90" t="s">
        <v>38</v>
      </c>
      <c r="P21" s="92"/>
      <c r="Q21" s="90" t="s">
        <v>47</v>
      </c>
      <c r="R21" s="92"/>
      <c r="S21" s="90" t="s">
        <v>47</v>
      </c>
      <c r="T21" s="94"/>
      <c r="U21" s="90" t="s">
        <v>47</v>
      </c>
      <c r="V21" s="94"/>
      <c r="W21" s="90" t="s">
        <v>47</v>
      </c>
      <c r="X21" s="94"/>
      <c r="Y21" s="90" t="s">
        <v>47</v>
      </c>
      <c r="Z21" s="95"/>
      <c r="AA21" s="100" t="s">
        <v>60</v>
      </c>
      <c r="AB21" s="90" t="s">
        <v>38</v>
      </c>
      <c r="AC21" s="92"/>
      <c r="AD21" s="90" t="s">
        <v>47</v>
      </c>
      <c r="AE21" s="92"/>
      <c r="AF21" s="90" t="s">
        <v>47</v>
      </c>
      <c r="AG21" s="94"/>
      <c r="AH21" s="90" t="s">
        <v>47</v>
      </c>
      <c r="AI21" s="94"/>
      <c r="AJ21" s="90" t="s">
        <v>47</v>
      </c>
      <c r="AK21" s="94"/>
      <c r="AL21" s="90" t="s">
        <v>47</v>
      </c>
      <c r="AN21" s="99" t="s">
        <v>54</v>
      </c>
      <c r="AO21" s="90" t="s">
        <v>38</v>
      </c>
      <c r="AP21" s="92"/>
      <c r="AQ21" s="90" t="s">
        <v>55</v>
      </c>
      <c r="AR21" s="92"/>
      <c r="AS21" s="90" t="s">
        <v>55</v>
      </c>
      <c r="AT21" s="78"/>
      <c r="AU21" s="79"/>
      <c r="AV21" s="78"/>
      <c r="AW21" s="79"/>
      <c r="AX21" s="78"/>
      <c r="AY21" s="79"/>
    </row>
    <row r="22" ht="15.75" customHeight="1">
      <c r="A22" s="81" t="s">
        <v>61</v>
      </c>
      <c r="B22" s="101" t="s">
        <v>38</v>
      </c>
      <c r="C22" s="102"/>
      <c r="D22" s="101" t="s">
        <v>58</v>
      </c>
      <c r="E22" s="102"/>
      <c r="F22" s="84" t="s">
        <v>59</v>
      </c>
      <c r="G22" s="103"/>
      <c r="H22" s="84" t="s">
        <v>59</v>
      </c>
      <c r="I22" s="103"/>
      <c r="J22" s="84" t="s">
        <v>59</v>
      </c>
      <c r="K22" s="85"/>
      <c r="L22" s="86"/>
      <c r="M22" s="95"/>
      <c r="N22" s="104" t="s">
        <v>61</v>
      </c>
      <c r="O22" s="101" t="s">
        <v>38</v>
      </c>
      <c r="P22" s="102"/>
      <c r="Q22" s="101" t="s">
        <v>58</v>
      </c>
      <c r="R22" s="102"/>
      <c r="S22" s="84" t="s">
        <v>59</v>
      </c>
      <c r="T22" s="103"/>
      <c r="U22" s="84" t="s">
        <v>59</v>
      </c>
      <c r="V22" s="103"/>
      <c r="W22" s="84" t="s">
        <v>59</v>
      </c>
      <c r="X22" s="85"/>
      <c r="Y22" s="86"/>
      <c r="Z22" s="95"/>
      <c r="AA22" s="104" t="s">
        <v>61</v>
      </c>
      <c r="AB22" s="101" t="s">
        <v>38</v>
      </c>
      <c r="AC22" s="102"/>
      <c r="AD22" s="101" t="s">
        <v>58</v>
      </c>
      <c r="AE22" s="102"/>
      <c r="AF22" s="84" t="s">
        <v>59</v>
      </c>
      <c r="AG22" s="103"/>
      <c r="AH22" s="84" t="s">
        <v>59</v>
      </c>
      <c r="AI22" s="103"/>
      <c r="AJ22" s="84" t="s">
        <v>59</v>
      </c>
      <c r="AK22" s="85"/>
      <c r="AL22" s="86"/>
      <c r="AN22" s="99" t="s">
        <v>62</v>
      </c>
      <c r="AO22" s="74" t="s">
        <v>38</v>
      </c>
      <c r="AP22" s="92"/>
      <c r="AQ22" s="90" t="s">
        <v>47</v>
      </c>
      <c r="AR22" s="92"/>
      <c r="AS22" s="90" t="s">
        <v>47</v>
      </c>
      <c r="AT22" s="94"/>
      <c r="AU22" s="90" t="s">
        <v>47</v>
      </c>
      <c r="AV22" s="94"/>
      <c r="AW22" s="90" t="s">
        <v>47</v>
      </c>
      <c r="AX22" s="94"/>
      <c r="AY22" s="90" t="s">
        <v>47</v>
      </c>
    </row>
    <row r="23" ht="15.75" customHeight="1">
      <c r="AN23" s="73" t="s">
        <v>57</v>
      </c>
      <c r="AO23" s="76" t="s">
        <v>38</v>
      </c>
      <c r="AP23" s="92"/>
      <c r="AQ23" s="90" t="s">
        <v>58</v>
      </c>
      <c r="AR23" s="92"/>
      <c r="AS23" s="76" t="s">
        <v>59</v>
      </c>
      <c r="AT23" s="94"/>
      <c r="AU23" s="98" t="s">
        <v>59</v>
      </c>
      <c r="AV23" s="94"/>
      <c r="AW23" s="98" t="s">
        <v>59</v>
      </c>
      <c r="AX23" s="78"/>
      <c r="AY23" s="79"/>
    </row>
    <row r="24" ht="15.75" customHeight="1">
      <c r="A24" s="61" t="s">
        <v>63</v>
      </c>
      <c r="C24" s="62" t="s">
        <v>30</v>
      </c>
      <c r="D24" s="63"/>
      <c r="E24" s="62" t="s">
        <v>31</v>
      </c>
      <c r="F24" s="63"/>
      <c r="G24" s="62" t="s">
        <v>32</v>
      </c>
      <c r="H24" s="63"/>
      <c r="I24" s="62" t="s">
        <v>33</v>
      </c>
      <c r="J24" s="63"/>
      <c r="K24" s="62" t="s">
        <v>34</v>
      </c>
      <c r="L24" s="63"/>
      <c r="N24" s="61" t="s">
        <v>64</v>
      </c>
      <c r="P24" s="62" t="s">
        <v>30</v>
      </c>
      <c r="Q24" s="63"/>
      <c r="R24" s="62" t="s">
        <v>31</v>
      </c>
      <c r="S24" s="63"/>
      <c r="T24" s="62" t="s">
        <v>32</v>
      </c>
      <c r="U24" s="63"/>
      <c r="V24" s="62" t="s">
        <v>33</v>
      </c>
      <c r="W24" s="63"/>
      <c r="X24" s="62" t="s">
        <v>34</v>
      </c>
      <c r="Y24" s="63"/>
      <c r="AA24" s="61" t="s">
        <v>65</v>
      </c>
      <c r="AC24" s="64" t="s">
        <v>30</v>
      </c>
      <c r="AD24" s="65"/>
      <c r="AE24" s="64" t="s">
        <v>31</v>
      </c>
      <c r="AF24" s="65"/>
      <c r="AG24" s="64" t="s">
        <v>32</v>
      </c>
      <c r="AH24" s="65"/>
      <c r="AI24" s="64" t="s">
        <v>33</v>
      </c>
      <c r="AJ24" s="65"/>
      <c r="AK24" s="64" t="s">
        <v>34</v>
      </c>
      <c r="AL24" s="63"/>
      <c r="AN24" s="105" t="s">
        <v>60</v>
      </c>
      <c r="AO24" s="106" t="s">
        <v>38</v>
      </c>
      <c r="AP24" s="91"/>
      <c r="AQ24" s="90" t="s">
        <v>47</v>
      </c>
      <c r="AR24" s="92"/>
      <c r="AS24" s="90" t="s">
        <v>47</v>
      </c>
      <c r="AT24" s="94"/>
      <c r="AU24" s="90" t="s">
        <v>47</v>
      </c>
      <c r="AV24" s="94"/>
      <c r="AW24" s="90" t="s">
        <v>47</v>
      </c>
      <c r="AX24" s="94"/>
      <c r="AY24" s="90" t="s">
        <v>47</v>
      </c>
    </row>
    <row r="25" ht="15.75" customHeight="1">
      <c r="A25" s="66" t="s">
        <v>7</v>
      </c>
      <c r="B25" s="88" t="s">
        <v>38</v>
      </c>
      <c r="C25" s="68">
        <f>IF(('Initial Inputs'!$F$8="kg"),MROUND(('Initial Inputs'!$B$10*0.775),2.5),MROUND(('Initial Inputs'!$B$10*0.775),5))</f>
        <v>250</v>
      </c>
      <c r="D25" s="69" t="s">
        <v>41</v>
      </c>
      <c r="E25" s="68">
        <f t="shared" ref="E25:E26" si="9">C25</f>
        <v>250</v>
      </c>
      <c r="F25" s="69" t="s">
        <v>41</v>
      </c>
      <c r="G25" s="68">
        <f t="shared" ref="G25:G26" si="10">E25</f>
        <v>250</v>
      </c>
      <c r="H25" s="69" t="s">
        <v>41</v>
      </c>
      <c r="I25" s="70"/>
      <c r="J25" s="71"/>
      <c r="K25" s="70"/>
      <c r="L25" s="71"/>
      <c r="N25" s="66" t="s">
        <v>7</v>
      </c>
      <c r="O25" s="88" t="s">
        <v>38</v>
      </c>
      <c r="P25" s="68">
        <f>IF(('Initial Inputs'!$F$8="kg"),MROUND(('Initial Inputs'!$B$10*0.775),2.5),MROUND(('Initial Inputs'!$B$10*0.775),5))</f>
        <v>250</v>
      </c>
      <c r="Q25" s="69" t="s">
        <v>41</v>
      </c>
      <c r="R25" s="68">
        <f t="shared" ref="R25:R26" si="11">P25</f>
        <v>250</v>
      </c>
      <c r="S25" s="69" t="s">
        <v>41</v>
      </c>
      <c r="T25" s="68">
        <f t="shared" ref="T25:T26" si="12">R25</f>
        <v>250</v>
      </c>
      <c r="U25" s="69" t="s">
        <v>41</v>
      </c>
      <c r="V25" s="70"/>
      <c r="W25" s="71"/>
      <c r="X25" s="70"/>
      <c r="Y25" s="71"/>
      <c r="AA25" s="66" t="s">
        <v>7</v>
      </c>
      <c r="AB25" s="88" t="s">
        <v>38</v>
      </c>
      <c r="AC25" s="68">
        <f>IF(('Initial Inputs'!$F$8="kg"),MROUND(($AE$5*0.775),2.5),MROUND(($AE$5*0.775),5))</f>
        <v>250</v>
      </c>
      <c r="AD25" s="69" t="s">
        <v>41</v>
      </c>
      <c r="AE25" s="68">
        <f t="shared" ref="AE25:AE26" si="13">AC25</f>
        <v>250</v>
      </c>
      <c r="AF25" s="69" t="s">
        <v>41</v>
      </c>
      <c r="AG25" s="68">
        <f t="shared" ref="AG25:AG26" si="14">AE25</f>
        <v>250</v>
      </c>
      <c r="AH25" s="69" t="s">
        <v>41</v>
      </c>
      <c r="AI25" s="68">
        <f t="shared" ref="AI25:AI26" si="15">AG25</f>
        <v>250</v>
      </c>
      <c r="AJ25" s="69" t="s">
        <v>41</v>
      </c>
      <c r="AK25" s="70"/>
      <c r="AL25" s="71"/>
      <c r="AN25" s="81" t="s">
        <v>61</v>
      </c>
      <c r="AO25" s="84" t="s">
        <v>38</v>
      </c>
      <c r="AP25" s="102"/>
      <c r="AQ25" s="101" t="s">
        <v>58</v>
      </c>
      <c r="AR25" s="102"/>
      <c r="AS25" s="84" t="s">
        <v>59</v>
      </c>
      <c r="AT25" s="103"/>
      <c r="AU25" s="84" t="s">
        <v>59</v>
      </c>
      <c r="AV25" s="103"/>
      <c r="AW25" s="84" t="s">
        <v>59</v>
      </c>
      <c r="AX25" s="85"/>
      <c r="AY25" s="86"/>
    </row>
    <row r="26" ht="15.75" customHeight="1">
      <c r="A26" s="73" t="s">
        <v>8</v>
      </c>
      <c r="B26" s="90" t="s">
        <v>38</v>
      </c>
      <c r="C26" s="75">
        <f>IF(('Initial Inputs'!$F$8="kg"),MROUND(('Initial Inputs'!$B$11*0.775),2.5),MROUND(('Initial Inputs'!$B$11*0.775),5))</f>
        <v>200</v>
      </c>
      <c r="D26" s="76" t="s">
        <v>41</v>
      </c>
      <c r="E26" s="77">
        <f t="shared" si="9"/>
        <v>200</v>
      </c>
      <c r="F26" s="76" t="s">
        <v>41</v>
      </c>
      <c r="G26" s="77">
        <f t="shared" si="10"/>
        <v>200</v>
      </c>
      <c r="H26" s="76" t="s">
        <v>41</v>
      </c>
      <c r="I26" s="78"/>
      <c r="J26" s="79"/>
      <c r="K26" s="78"/>
      <c r="L26" s="79"/>
      <c r="M26" s="95"/>
      <c r="N26" s="96" t="s">
        <v>8</v>
      </c>
      <c r="O26" s="90" t="s">
        <v>38</v>
      </c>
      <c r="P26" s="75">
        <f>IF(('Initial Inputs'!$F$8="kg"),MROUND(('Initial Inputs'!$B$11*0.775),2.5),MROUND(('Initial Inputs'!$B$11*0.775),5))</f>
        <v>200</v>
      </c>
      <c r="Q26" s="76" t="s">
        <v>41</v>
      </c>
      <c r="R26" s="77">
        <f t="shared" si="11"/>
        <v>200</v>
      </c>
      <c r="S26" s="76" t="s">
        <v>41</v>
      </c>
      <c r="T26" s="77">
        <f t="shared" si="12"/>
        <v>200</v>
      </c>
      <c r="U26" s="76" t="s">
        <v>41</v>
      </c>
      <c r="V26" s="78"/>
      <c r="W26" s="79"/>
      <c r="X26" s="78"/>
      <c r="Y26" s="79"/>
      <c r="Z26" s="95"/>
      <c r="AA26" s="96" t="s">
        <v>8</v>
      </c>
      <c r="AB26" s="90" t="s">
        <v>38</v>
      </c>
      <c r="AC26" s="75">
        <f>IF(('Initial Inputs'!$F$8="kg"),MROUND(($AE$6*0.775),2.5),MROUND(($AE$6*0.775),5))</f>
        <v>180</v>
      </c>
      <c r="AD26" s="76" t="s">
        <v>41</v>
      </c>
      <c r="AE26" s="75">
        <f t="shared" si="13"/>
        <v>180</v>
      </c>
      <c r="AF26" s="76" t="s">
        <v>41</v>
      </c>
      <c r="AG26" s="75">
        <f t="shared" si="14"/>
        <v>180</v>
      </c>
      <c r="AH26" s="76" t="s">
        <v>41</v>
      </c>
      <c r="AI26" s="75">
        <f t="shared" si="15"/>
        <v>180</v>
      </c>
      <c r="AJ26" s="76" t="s">
        <v>41</v>
      </c>
      <c r="AK26" s="78"/>
      <c r="AL26" s="79"/>
      <c r="AM26" s="31"/>
      <c r="AN26" s="31"/>
    </row>
    <row r="27" ht="15.75" customHeight="1">
      <c r="A27" s="73" t="s">
        <v>48</v>
      </c>
      <c r="B27" s="90" t="s">
        <v>38</v>
      </c>
      <c r="C27" s="92"/>
      <c r="D27" s="90" t="s">
        <v>49</v>
      </c>
      <c r="E27" s="92"/>
      <c r="F27" s="90" t="s">
        <v>49</v>
      </c>
      <c r="G27" s="78"/>
      <c r="H27" s="79"/>
      <c r="I27" s="78"/>
      <c r="J27" s="79"/>
      <c r="K27" s="107"/>
      <c r="L27" s="108"/>
      <c r="M27" s="95"/>
      <c r="N27" s="96" t="s">
        <v>48</v>
      </c>
      <c r="O27" s="90" t="s">
        <v>38</v>
      </c>
      <c r="P27" s="92"/>
      <c r="Q27" s="90" t="s">
        <v>49</v>
      </c>
      <c r="R27" s="92"/>
      <c r="S27" s="90" t="s">
        <v>49</v>
      </c>
      <c r="T27" s="78"/>
      <c r="U27" s="79"/>
      <c r="V27" s="78"/>
      <c r="W27" s="79"/>
      <c r="X27" s="107"/>
      <c r="Y27" s="108"/>
      <c r="Z27" s="95"/>
      <c r="AA27" s="96" t="s">
        <v>48</v>
      </c>
      <c r="AB27" s="90" t="s">
        <v>38</v>
      </c>
      <c r="AC27" s="92"/>
      <c r="AD27" s="90" t="s">
        <v>49</v>
      </c>
      <c r="AE27" s="92"/>
      <c r="AF27" s="90" t="s">
        <v>49</v>
      </c>
      <c r="AG27" s="78"/>
      <c r="AH27" s="79"/>
      <c r="AI27" s="78"/>
      <c r="AJ27" s="79"/>
      <c r="AK27" s="107"/>
      <c r="AL27" s="108"/>
      <c r="AM27" s="31"/>
      <c r="AN27" s="61" t="s">
        <v>66</v>
      </c>
      <c r="AP27" s="64" t="s">
        <v>30</v>
      </c>
      <c r="AQ27" s="65"/>
      <c r="AR27" s="64" t="s">
        <v>31</v>
      </c>
      <c r="AS27" s="65"/>
      <c r="AT27" s="64" t="s">
        <v>32</v>
      </c>
      <c r="AU27" s="65"/>
      <c r="AV27" s="64" t="s">
        <v>33</v>
      </c>
      <c r="AW27" s="65"/>
      <c r="AX27" s="64" t="s">
        <v>34</v>
      </c>
      <c r="AY27" s="63"/>
    </row>
    <row r="28" ht="15.75" customHeight="1">
      <c r="A28" s="73" t="s">
        <v>67</v>
      </c>
      <c r="B28" s="90" t="s">
        <v>38</v>
      </c>
      <c r="C28" s="92"/>
      <c r="D28" s="90" t="s">
        <v>49</v>
      </c>
      <c r="E28" s="92"/>
      <c r="F28" s="90" t="s">
        <v>49</v>
      </c>
      <c r="G28" s="78"/>
      <c r="H28" s="79"/>
      <c r="I28" s="78"/>
      <c r="J28" s="79"/>
      <c r="K28" s="78"/>
      <c r="L28" s="108"/>
      <c r="M28" s="95"/>
      <c r="N28" s="96" t="s">
        <v>67</v>
      </c>
      <c r="O28" s="90" t="s">
        <v>38</v>
      </c>
      <c r="P28" s="92"/>
      <c r="Q28" s="90" t="s">
        <v>49</v>
      </c>
      <c r="R28" s="92"/>
      <c r="S28" s="90" t="s">
        <v>49</v>
      </c>
      <c r="T28" s="78"/>
      <c r="U28" s="79"/>
      <c r="V28" s="78"/>
      <c r="W28" s="79"/>
      <c r="X28" s="78"/>
      <c r="Y28" s="108"/>
      <c r="Z28" s="95"/>
      <c r="AA28" s="96" t="s">
        <v>67</v>
      </c>
      <c r="AB28" s="90" t="s">
        <v>38</v>
      </c>
      <c r="AC28" s="92"/>
      <c r="AD28" s="90" t="s">
        <v>49</v>
      </c>
      <c r="AE28" s="92"/>
      <c r="AF28" s="90" t="s">
        <v>49</v>
      </c>
      <c r="AG28" s="78"/>
      <c r="AH28" s="79"/>
      <c r="AI28" s="78"/>
      <c r="AJ28" s="79"/>
      <c r="AK28" s="78"/>
      <c r="AL28" s="108"/>
      <c r="AM28" s="95"/>
      <c r="AN28" s="66" t="s">
        <v>7</v>
      </c>
      <c r="AO28" s="88" t="s">
        <v>38</v>
      </c>
      <c r="AP28" s="68">
        <f>IF(('Initial Inputs'!$F$8="kg"),MROUND(($AR$5*0.7),2.5),MROUND(($AR$5*0.7),5))</f>
        <v>225</v>
      </c>
      <c r="AQ28" s="69" t="s">
        <v>68</v>
      </c>
      <c r="AR28" s="68">
        <f t="shared" ref="AR28:AR30" si="16">AP28</f>
        <v>225</v>
      </c>
      <c r="AS28" s="69" t="s">
        <v>68</v>
      </c>
      <c r="AT28" s="68">
        <f t="shared" ref="AT28:AT29" si="17">AR28</f>
        <v>225</v>
      </c>
      <c r="AU28" s="69" t="s">
        <v>68</v>
      </c>
      <c r="AV28" s="70"/>
      <c r="AW28" s="71"/>
      <c r="AX28" s="70"/>
      <c r="AY28" s="71"/>
    </row>
    <row r="29" ht="15.75" customHeight="1">
      <c r="A29" s="73" t="s">
        <v>69</v>
      </c>
      <c r="B29" s="90" t="s">
        <v>38</v>
      </c>
      <c r="C29" s="92"/>
      <c r="D29" s="90" t="s">
        <v>70</v>
      </c>
      <c r="E29" s="92"/>
      <c r="F29" s="90" t="s">
        <v>70</v>
      </c>
      <c r="G29" s="94"/>
      <c r="H29" s="90" t="s">
        <v>70</v>
      </c>
      <c r="I29" s="78"/>
      <c r="J29" s="79"/>
      <c r="K29" s="109"/>
      <c r="L29" s="108"/>
      <c r="M29" s="95"/>
      <c r="N29" s="96" t="s">
        <v>69</v>
      </c>
      <c r="O29" s="90" t="s">
        <v>38</v>
      </c>
      <c r="P29" s="92"/>
      <c r="Q29" s="90" t="s">
        <v>70</v>
      </c>
      <c r="R29" s="92"/>
      <c r="S29" s="90" t="s">
        <v>70</v>
      </c>
      <c r="T29" s="94"/>
      <c r="U29" s="90" t="s">
        <v>70</v>
      </c>
      <c r="V29" s="78"/>
      <c r="W29" s="79"/>
      <c r="X29" s="109"/>
      <c r="Y29" s="108"/>
      <c r="Z29" s="95"/>
      <c r="AA29" s="96" t="s">
        <v>69</v>
      </c>
      <c r="AB29" s="90" t="s">
        <v>38</v>
      </c>
      <c r="AC29" s="92"/>
      <c r="AD29" s="90" t="s">
        <v>70</v>
      </c>
      <c r="AE29" s="92"/>
      <c r="AF29" s="90" t="s">
        <v>70</v>
      </c>
      <c r="AG29" s="94"/>
      <c r="AH29" s="90" t="s">
        <v>70</v>
      </c>
      <c r="AI29" s="78"/>
      <c r="AJ29" s="79"/>
      <c r="AK29" s="109"/>
      <c r="AL29" s="108"/>
      <c r="AM29" s="95"/>
      <c r="AN29" s="96" t="s">
        <v>8</v>
      </c>
      <c r="AO29" s="90" t="s">
        <v>38</v>
      </c>
      <c r="AP29" s="75">
        <f>IF(('Initial Inputs'!$F$8="kg"),MROUND(($AR$6*0.7),2.5),MROUND(($AR$6*0.7),5))</f>
        <v>165</v>
      </c>
      <c r="AQ29" s="76" t="s">
        <v>68</v>
      </c>
      <c r="AR29" s="75">
        <f t="shared" si="16"/>
        <v>165</v>
      </c>
      <c r="AS29" s="76" t="s">
        <v>68</v>
      </c>
      <c r="AT29" s="75">
        <f t="shared" si="17"/>
        <v>165</v>
      </c>
      <c r="AU29" s="76" t="s">
        <v>68</v>
      </c>
      <c r="AV29" s="78"/>
      <c r="AW29" s="79"/>
      <c r="AX29" s="78"/>
      <c r="AY29" s="79"/>
    </row>
    <row r="30" ht="15.75" customHeight="1">
      <c r="A30" s="73" t="s">
        <v>71</v>
      </c>
      <c r="B30" s="90" t="s">
        <v>38</v>
      </c>
      <c r="C30" s="92"/>
      <c r="D30" s="90" t="s">
        <v>72</v>
      </c>
      <c r="E30" s="92"/>
      <c r="F30" s="90" t="s">
        <v>72</v>
      </c>
      <c r="G30" s="94"/>
      <c r="H30" s="90" t="s">
        <v>72</v>
      </c>
      <c r="I30" s="78"/>
      <c r="J30" s="79"/>
      <c r="K30" s="109"/>
      <c r="L30" s="108"/>
      <c r="M30" s="95"/>
      <c r="N30" s="96" t="s">
        <v>71</v>
      </c>
      <c r="O30" s="90" t="s">
        <v>38</v>
      </c>
      <c r="P30" s="92"/>
      <c r="Q30" s="90" t="s">
        <v>72</v>
      </c>
      <c r="R30" s="92"/>
      <c r="S30" s="90" t="s">
        <v>72</v>
      </c>
      <c r="T30" s="94"/>
      <c r="U30" s="90" t="s">
        <v>72</v>
      </c>
      <c r="V30" s="78"/>
      <c r="W30" s="79"/>
      <c r="X30" s="109"/>
      <c r="Y30" s="108"/>
      <c r="Z30" s="95"/>
      <c r="AA30" s="96" t="s">
        <v>71</v>
      </c>
      <c r="AB30" s="90" t="s">
        <v>38</v>
      </c>
      <c r="AC30" s="92"/>
      <c r="AD30" s="90" t="s">
        <v>72</v>
      </c>
      <c r="AE30" s="92"/>
      <c r="AF30" s="90" t="s">
        <v>72</v>
      </c>
      <c r="AG30" s="94"/>
      <c r="AH30" s="90" t="s">
        <v>72</v>
      </c>
      <c r="AI30" s="78"/>
      <c r="AJ30" s="79"/>
      <c r="AK30" s="109"/>
      <c r="AL30" s="108"/>
      <c r="AM30" s="95"/>
      <c r="AN30" s="100" t="s">
        <v>9</v>
      </c>
      <c r="AO30" s="82" t="s">
        <v>38</v>
      </c>
      <c r="AP30" s="83">
        <f>IF(('Initial Inputs'!$F$8="kg"),MROUND(($AR$7*0.75),2.5),MROUND(($AR$7*0.75),5))</f>
        <v>315</v>
      </c>
      <c r="AQ30" s="110" t="s">
        <v>40</v>
      </c>
      <c r="AR30" s="83">
        <f t="shared" si="16"/>
        <v>315</v>
      </c>
      <c r="AS30" s="110" t="s">
        <v>40</v>
      </c>
      <c r="AT30" s="107"/>
      <c r="AU30" s="108"/>
      <c r="AV30" s="107"/>
      <c r="AW30" s="108"/>
      <c r="AX30" s="107"/>
      <c r="AY30" s="108"/>
    </row>
    <row r="31" ht="15.75" customHeight="1">
      <c r="A31" s="73" t="s">
        <v>53</v>
      </c>
      <c r="B31" s="90" t="s">
        <v>38</v>
      </c>
      <c r="C31" s="92"/>
      <c r="D31" s="90" t="s">
        <v>47</v>
      </c>
      <c r="E31" s="92"/>
      <c r="F31" s="90" t="s">
        <v>47</v>
      </c>
      <c r="G31" s="94"/>
      <c r="H31" s="90" t="s">
        <v>47</v>
      </c>
      <c r="I31" s="94"/>
      <c r="J31" s="90" t="s">
        <v>47</v>
      </c>
      <c r="K31" s="109"/>
      <c r="L31" s="108"/>
      <c r="M31" s="95"/>
      <c r="N31" s="96" t="s">
        <v>53</v>
      </c>
      <c r="O31" s="90" t="s">
        <v>38</v>
      </c>
      <c r="P31" s="92"/>
      <c r="Q31" s="90" t="s">
        <v>47</v>
      </c>
      <c r="R31" s="92"/>
      <c r="S31" s="90" t="s">
        <v>47</v>
      </c>
      <c r="T31" s="92"/>
      <c r="U31" s="90" t="s">
        <v>47</v>
      </c>
      <c r="V31" s="92"/>
      <c r="W31" s="90" t="s">
        <v>47</v>
      </c>
      <c r="X31" s="109"/>
      <c r="Y31" s="108"/>
      <c r="Z31" s="95"/>
      <c r="AA31" s="96" t="s">
        <v>53</v>
      </c>
      <c r="AB31" s="90" t="s">
        <v>38</v>
      </c>
      <c r="AC31" s="92"/>
      <c r="AD31" s="90" t="s">
        <v>47</v>
      </c>
      <c r="AE31" s="92"/>
      <c r="AF31" s="90" t="s">
        <v>47</v>
      </c>
      <c r="AG31" s="92"/>
      <c r="AH31" s="90" t="s">
        <v>47</v>
      </c>
      <c r="AI31" s="92"/>
      <c r="AJ31" s="90" t="s">
        <v>47</v>
      </c>
      <c r="AK31" s="109"/>
      <c r="AL31" s="108"/>
      <c r="AM31" s="31"/>
      <c r="AN31" s="111"/>
      <c r="AO31" s="112"/>
      <c r="AP31" s="113"/>
      <c r="AQ31" s="111"/>
      <c r="AR31" s="114"/>
      <c r="AS31" s="111"/>
      <c r="AT31" s="111"/>
      <c r="AU31" s="111"/>
      <c r="AV31" s="111"/>
      <c r="AW31" s="111"/>
      <c r="AX31" s="111"/>
      <c r="AY31" s="111"/>
    </row>
    <row r="32" ht="15.75" customHeight="1">
      <c r="A32" s="81" t="s">
        <v>73</v>
      </c>
      <c r="B32" s="101" t="s">
        <v>38</v>
      </c>
      <c r="C32" s="102"/>
      <c r="D32" s="101" t="s">
        <v>58</v>
      </c>
      <c r="E32" s="102"/>
      <c r="F32" s="84" t="s">
        <v>59</v>
      </c>
      <c r="G32" s="103"/>
      <c r="H32" s="84" t="s">
        <v>59</v>
      </c>
      <c r="I32" s="103"/>
      <c r="J32" s="84" t="s">
        <v>59</v>
      </c>
      <c r="K32" s="85"/>
      <c r="L32" s="86"/>
      <c r="M32" s="95"/>
      <c r="N32" s="104" t="s">
        <v>73</v>
      </c>
      <c r="O32" s="101" t="s">
        <v>38</v>
      </c>
      <c r="P32" s="102"/>
      <c r="Q32" s="101" t="s">
        <v>58</v>
      </c>
      <c r="R32" s="102"/>
      <c r="S32" s="84" t="s">
        <v>59</v>
      </c>
      <c r="T32" s="103"/>
      <c r="U32" s="84" t="s">
        <v>59</v>
      </c>
      <c r="V32" s="103"/>
      <c r="W32" s="84" t="s">
        <v>59</v>
      </c>
      <c r="X32" s="85"/>
      <c r="Y32" s="86"/>
      <c r="Z32" s="95"/>
      <c r="AA32" s="104" t="s">
        <v>73</v>
      </c>
      <c r="AB32" s="101" t="s">
        <v>38</v>
      </c>
      <c r="AC32" s="102"/>
      <c r="AD32" s="101" t="s">
        <v>58</v>
      </c>
      <c r="AE32" s="102"/>
      <c r="AF32" s="84" t="s">
        <v>59</v>
      </c>
      <c r="AG32" s="103"/>
      <c r="AH32" s="84" t="s">
        <v>59</v>
      </c>
      <c r="AI32" s="103"/>
      <c r="AJ32" s="84" t="s">
        <v>59</v>
      </c>
      <c r="AK32" s="85"/>
      <c r="AL32" s="86"/>
      <c r="AM32" s="31"/>
      <c r="AN32" s="115" t="s">
        <v>74</v>
      </c>
      <c r="AO32" s="112"/>
      <c r="AP32" s="113"/>
      <c r="AQ32" s="112"/>
      <c r="AR32" s="113"/>
      <c r="AS32" s="112"/>
      <c r="AT32" s="112"/>
      <c r="AU32" s="112"/>
      <c r="AV32" s="112"/>
      <c r="AW32" s="112"/>
      <c r="AX32" s="112"/>
      <c r="AY32" s="112"/>
    </row>
    <row r="33" ht="15.75" customHeight="1">
      <c r="AN33" s="112"/>
      <c r="AO33" s="112"/>
      <c r="AP33" s="113"/>
      <c r="AQ33" s="112"/>
      <c r="AR33" s="113"/>
      <c r="AS33" s="112"/>
      <c r="AT33" s="112"/>
      <c r="AU33" s="112"/>
      <c r="AV33" s="112"/>
      <c r="AW33" s="112"/>
      <c r="AX33" s="112"/>
      <c r="AY33" s="112"/>
    </row>
    <row r="34" ht="15.75" customHeight="1">
      <c r="A34" s="115" t="s">
        <v>75</v>
      </c>
      <c r="N34" s="115" t="s">
        <v>76</v>
      </c>
      <c r="AA34" s="115" t="s">
        <v>77</v>
      </c>
      <c r="AN34" s="115" t="s">
        <v>78</v>
      </c>
      <c r="AO34" s="112"/>
      <c r="AP34" s="113"/>
      <c r="AQ34" s="112"/>
      <c r="AR34" s="113"/>
      <c r="AS34" s="112"/>
      <c r="AT34" s="113"/>
      <c r="AU34" s="112"/>
      <c r="AV34" s="113"/>
      <c r="AW34" s="112"/>
      <c r="AX34" s="112"/>
      <c r="AY34" s="112"/>
    </row>
    <row r="35" ht="15.75" customHeight="1">
      <c r="AN35" s="112"/>
      <c r="AO35" s="112"/>
      <c r="AP35" s="113"/>
      <c r="AQ35" s="112"/>
      <c r="AR35" s="113"/>
      <c r="AS35" s="112"/>
      <c r="AT35" s="112"/>
      <c r="AU35" s="112"/>
      <c r="AV35" s="112"/>
      <c r="AW35" s="112"/>
      <c r="AX35" s="112"/>
      <c r="AY35" s="112"/>
    </row>
    <row r="36" ht="15.75" customHeight="1">
      <c r="A36" s="61" t="s">
        <v>79</v>
      </c>
      <c r="C36" s="62" t="s">
        <v>30</v>
      </c>
      <c r="D36" s="63"/>
      <c r="E36" s="62" t="s">
        <v>31</v>
      </c>
      <c r="F36" s="63"/>
      <c r="G36" s="62" t="s">
        <v>32</v>
      </c>
      <c r="H36" s="63"/>
      <c r="I36" s="62" t="s">
        <v>33</v>
      </c>
      <c r="J36" s="63"/>
      <c r="K36" s="62" t="s">
        <v>34</v>
      </c>
      <c r="L36" s="63"/>
      <c r="N36" s="61" t="s">
        <v>80</v>
      </c>
      <c r="P36" s="62" t="s">
        <v>30</v>
      </c>
      <c r="Q36" s="63"/>
      <c r="R36" s="62" t="s">
        <v>31</v>
      </c>
      <c r="S36" s="63"/>
      <c r="T36" s="62" t="s">
        <v>32</v>
      </c>
      <c r="U36" s="63"/>
      <c r="V36" s="62" t="s">
        <v>33</v>
      </c>
      <c r="W36" s="63"/>
      <c r="X36" s="62" t="s">
        <v>34</v>
      </c>
      <c r="Y36" s="63"/>
      <c r="AA36" s="61" t="s">
        <v>81</v>
      </c>
      <c r="AC36" s="64" t="s">
        <v>30</v>
      </c>
      <c r="AD36" s="65"/>
      <c r="AE36" s="64" t="s">
        <v>31</v>
      </c>
      <c r="AF36" s="65"/>
      <c r="AG36" s="64" t="s">
        <v>32</v>
      </c>
      <c r="AH36" s="65"/>
      <c r="AI36" s="64" t="s">
        <v>33</v>
      </c>
      <c r="AJ36" s="65"/>
      <c r="AK36" s="64" t="s">
        <v>34</v>
      </c>
      <c r="AL36" s="63"/>
      <c r="AN36" s="61" t="s">
        <v>82</v>
      </c>
      <c r="AP36" s="64" t="s">
        <v>30</v>
      </c>
      <c r="AQ36" s="65"/>
      <c r="AR36" s="64" t="s">
        <v>31</v>
      </c>
      <c r="AS36" s="65"/>
      <c r="AT36" s="64" t="s">
        <v>32</v>
      </c>
      <c r="AU36" s="65"/>
      <c r="AV36" s="64" t="s">
        <v>33</v>
      </c>
      <c r="AW36" s="65"/>
      <c r="AX36" s="64" t="s">
        <v>34</v>
      </c>
      <c r="AY36" s="63"/>
    </row>
    <row r="37" ht="15.75" customHeight="1">
      <c r="A37" s="66" t="s">
        <v>9</v>
      </c>
      <c r="B37" s="88" t="s">
        <v>38</v>
      </c>
      <c r="C37" s="116">
        <f>IF(('Initial Inputs'!$F$8="kg"),MROUND(('Initial Inputs'!$B$12*0.825),2.5),MROUND(('Initial Inputs'!$B$12*0.825),5))</f>
        <v>345</v>
      </c>
      <c r="D37" s="69" t="s">
        <v>40</v>
      </c>
      <c r="E37" s="68">
        <f t="shared" ref="E37:E38" si="18">C37</f>
        <v>345</v>
      </c>
      <c r="F37" s="69" t="s">
        <v>40</v>
      </c>
      <c r="G37" s="70"/>
      <c r="H37" s="71"/>
      <c r="I37" s="70"/>
      <c r="J37" s="71"/>
      <c r="K37" s="70"/>
      <c r="L37" s="71"/>
      <c r="N37" s="66" t="s">
        <v>83</v>
      </c>
      <c r="O37" s="88" t="s">
        <v>38</v>
      </c>
      <c r="P37" s="116">
        <f>IF(('Initial Inputs'!$F$8="kg"),MROUND(('Initial Inputs'!$B$12*0.825),2.5),MROUND(('Initial Inputs'!$B$12*0.825),5))</f>
        <v>345</v>
      </c>
      <c r="Q37" s="69" t="s">
        <v>40</v>
      </c>
      <c r="R37" s="68">
        <f t="shared" ref="R37:R38" si="19">P37</f>
        <v>345</v>
      </c>
      <c r="S37" s="69" t="s">
        <v>40</v>
      </c>
      <c r="T37" s="68">
        <f t="shared" ref="T37:T38" si="20">R37</f>
        <v>345</v>
      </c>
      <c r="U37" s="69" t="s">
        <v>84</v>
      </c>
      <c r="V37" s="70"/>
      <c r="W37" s="71"/>
      <c r="X37" s="70"/>
      <c r="Y37" s="71"/>
      <c r="AA37" s="66" t="s">
        <v>85</v>
      </c>
      <c r="AB37" s="88" t="s">
        <v>38</v>
      </c>
      <c r="AC37" s="68">
        <f>IF(('Initial Inputs'!$F$8="kg"),MROUND(($AE$7*0.825),2.5),MROUND(($AE$7*0.825),5))</f>
        <v>345</v>
      </c>
      <c r="AD37" s="69" t="s">
        <v>40</v>
      </c>
      <c r="AE37" s="68">
        <f t="shared" ref="AE37:AE38" si="21">AC37</f>
        <v>345</v>
      </c>
      <c r="AF37" s="69" t="s">
        <v>40</v>
      </c>
      <c r="AG37" s="68">
        <f t="shared" ref="AG37:AG38" si="22">AE37</f>
        <v>345</v>
      </c>
      <c r="AH37" s="69" t="s">
        <v>84</v>
      </c>
      <c r="AI37" s="70"/>
      <c r="AJ37" s="71"/>
      <c r="AK37" s="70"/>
      <c r="AL37" s="71"/>
      <c r="AN37" s="66" t="s">
        <v>7</v>
      </c>
      <c r="AO37" s="88" t="s">
        <v>38</v>
      </c>
      <c r="AP37" s="68">
        <f>IF(('Initial Inputs'!$F$8="kg"),MROUND(('Initial Inputs'!$B$10*0.85),2.5),MROUND(('Initial Inputs'!$B$10*0.85),5))</f>
        <v>270</v>
      </c>
      <c r="AQ37" s="69" t="s">
        <v>84</v>
      </c>
      <c r="AR37" s="70"/>
      <c r="AS37" s="71"/>
      <c r="AT37" s="70"/>
      <c r="AU37" s="71"/>
      <c r="AV37" s="70"/>
      <c r="AW37" s="71"/>
      <c r="AX37" s="70"/>
      <c r="AY37" s="71"/>
    </row>
    <row r="38" ht="15.75" customHeight="1">
      <c r="A38" s="73" t="s">
        <v>8</v>
      </c>
      <c r="B38" s="90" t="s">
        <v>38</v>
      </c>
      <c r="C38" s="77">
        <f>IF(('Initial Inputs'!$F$8="kg"),MROUND(('Initial Inputs'!$B$11*0.825),2.5),MROUND(('Initial Inputs'!$B$11*0.825),5))</f>
        <v>215</v>
      </c>
      <c r="D38" s="76" t="s">
        <v>86</v>
      </c>
      <c r="E38" s="77">
        <f t="shared" si="18"/>
        <v>215</v>
      </c>
      <c r="F38" s="76" t="s">
        <v>86</v>
      </c>
      <c r="G38" s="77">
        <f>E38</f>
        <v>215</v>
      </c>
      <c r="H38" s="76" t="s">
        <v>86</v>
      </c>
      <c r="I38" s="78"/>
      <c r="J38" s="79"/>
      <c r="K38" s="78"/>
      <c r="L38" s="79"/>
      <c r="M38" s="95"/>
      <c r="N38" s="96" t="s">
        <v>87</v>
      </c>
      <c r="O38" s="90" t="s">
        <v>38</v>
      </c>
      <c r="P38" s="77">
        <f>IF(('Initial Inputs'!$F$8="kg"),MROUND(('Initial Inputs'!$B$11*0.825),2.5),MROUND(('Initial Inputs'!$B$11*0.825),5))</f>
        <v>215</v>
      </c>
      <c r="Q38" s="76" t="s">
        <v>68</v>
      </c>
      <c r="R38" s="77">
        <f t="shared" si="19"/>
        <v>215</v>
      </c>
      <c r="S38" s="76" t="s">
        <v>68</v>
      </c>
      <c r="T38" s="77">
        <f t="shared" si="20"/>
        <v>215</v>
      </c>
      <c r="U38" s="76" t="s">
        <v>68</v>
      </c>
      <c r="V38" s="77">
        <f>T38</f>
        <v>215</v>
      </c>
      <c r="W38" s="76" t="s">
        <v>84</v>
      </c>
      <c r="X38" s="78"/>
      <c r="Y38" s="79"/>
      <c r="Z38" s="95"/>
      <c r="AA38" s="96" t="s">
        <v>88</v>
      </c>
      <c r="AB38" s="90" t="s">
        <v>38</v>
      </c>
      <c r="AC38" s="75">
        <f>IF(('Initial Inputs'!$F$8="kg"),MROUND(($AE$6*0.825),2.5),MROUND(($AE$6*0.825),5))</f>
        <v>195</v>
      </c>
      <c r="AD38" s="76" t="s">
        <v>68</v>
      </c>
      <c r="AE38" s="75">
        <f t="shared" si="21"/>
        <v>195</v>
      </c>
      <c r="AF38" s="76" t="s">
        <v>68</v>
      </c>
      <c r="AG38" s="75">
        <f t="shared" si="22"/>
        <v>195</v>
      </c>
      <c r="AH38" s="76" t="s">
        <v>68</v>
      </c>
      <c r="AI38" s="68">
        <f>AG38</f>
        <v>195</v>
      </c>
      <c r="AJ38" s="76" t="s">
        <v>84</v>
      </c>
      <c r="AK38" s="78"/>
      <c r="AL38" s="79"/>
      <c r="AM38" s="31"/>
      <c r="AN38" s="73" t="s">
        <v>8</v>
      </c>
      <c r="AO38" s="90" t="s">
        <v>38</v>
      </c>
      <c r="AP38" s="75">
        <f>IF(('Initial Inputs'!$F$8="kg"),MROUND(('Initial Inputs'!$B$11*0.85),2.5),MROUND(('Initial Inputs'!$B$11*0.85),5))</f>
        <v>220</v>
      </c>
      <c r="AQ38" s="76" t="s">
        <v>84</v>
      </c>
      <c r="AR38" s="78"/>
      <c r="AS38" s="79"/>
      <c r="AT38" s="78"/>
      <c r="AU38" s="79"/>
      <c r="AV38" s="78"/>
      <c r="AW38" s="79"/>
      <c r="AX38" s="78"/>
      <c r="AY38" s="79"/>
    </row>
    <row r="39" ht="15.75" customHeight="1">
      <c r="A39" s="73" t="s">
        <v>89</v>
      </c>
      <c r="B39" s="90" t="s">
        <v>38</v>
      </c>
      <c r="C39" s="92"/>
      <c r="D39" s="90" t="s">
        <v>90</v>
      </c>
      <c r="E39" s="92"/>
      <c r="F39" s="90" t="s">
        <v>90</v>
      </c>
      <c r="G39" s="78"/>
      <c r="H39" s="79"/>
      <c r="I39" s="78"/>
      <c r="J39" s="79"/>
      <c r="K39" s="78"/>
      <c r="L39" s="79"/>
      <c r="M39" s="95"/>
      <c r="N39" s="96" t="s">
        <v>89</v>
      </c>
      <c r="O39" s="90" t="s">
        <v>38</v>
      </c>
      <c r="P39" s="92"/>
      <c r="Q39" s="90" t="s">
        <v>90</v>
      </c>
      <c r="R39" s="92"/>
      <c r="S39" s="90" t="s">
        <v>90</v>
      </c>
      <c r="T39" s="78"/>
      <c r="U39" s="79"/>
      <c r="V39" s="78"/>
      <c r="W39" s="79"/>
      <c r="X39" s="78"/>
      <c r="Y39" s="79"/>
      <c r="Z39" s="95"/>
      <c r="AA39" s="96" t="s">
        <v>89</v>
      </c>
      <c r="AB39" s="90" t="s">
        <v>38</v>
      </c>
      <c r="AC39" s="92"/>
      <c r="AD39" s="90" t="s">
        <v>90</v>
      </c>
      <c r="AE39" s="92"/>
      <c r="AF39" s="90" t="s">
        <v>90</v>
      </c>
      <c r="AG39" s="78"/>
      <c r="AH39" s="79"/>
      <c r="AI39" s="78"/>
      <c r="AJ39" s="79"/>
      <c r="AK39" s="78"/>
      <c r="AL39" s="79"/>
      <c r="AM39" s="31"/>
      <c r="AN39" s="81" t="s">
        <v>9</v>
      </c>
      <c r="AO39" s="82" t="s">
        <v>38</v>
      </c>
      <c r="AP39" s="83">
        <f>IF(('Initial Inputs'!$F$8="kg"),MROUND(('Initial Inputs'!$B$12*0.85),2.5),MROUND(('Initial Inputs'!$B$12*0.85),5))</f>
        <v>355</v>
      </c>
      <c r="AQ39" s="101" t="s">
        <v>84</v>
      </c>
      <c r="AR39" s="85"/>
      <c r="AS39" s="86"/>
      <c r="AT39" s="85"/>
      <c r="AU39" s="86"/>
      <c r="AV39" s="85"/>
      <c r="AW39" s="86"/>
      <c r="AX39" s="85"/>
      <c r="AY39" s="86"/>
    </row>
    <row r="40" ht="15.75" customHeight="1">
      <c r="A40" s="73" t="s">
        <v>91</v>
      </c>
      <c r="B40" s="90" t="s">
        <v>38</v>
      </c>
      <c r="C40" s="92"/>
      <c r="D40" s="90" t="s">
        <v>90</v>
      </c>
      <c r="E40" s="92"/>
      <c r="F40" s="90" t="s">
        <v>90</v>
      </c>
      <c r="G40" s="78"/>
      <c r="H40" s="79"/>
      <c r="I40" s="78"/>
      <c r="J40" s="79"/>
      <c r="K40" s="78"/>
      <c r="L40" s="79"/>
      <c r="M40" s="95"/>
      <c r="N40" s="96" t="s">
        <v>91</v>
      </c>
      <c r="O40" s="90" t="s">
        <v>38</v>
      </c>
      <c r="P40" s="92"/>
      <c r="Q40" s="90" t="s">
        <v>90</v>
      </c>
      <c r="R40" s="92"/>
      <c r="S40" s="90" t="s">
        <v>90</v>
      </c>
      <c r="T40" s="78"/>
      <c r="U40" s="79"/>
      <c r="V40" s="78"/>
      <c r="W40" s="79"/>
      <c r="X40" s="78"/>
      <c r="Y40" s="79"/>
      <c r="Z40" s="95"/>
      <c r="AA40" s="96" t="s">
        <v>91</v>
      </c>
      <c r="AB40" s="90" t="s">
        <v>38</v>
      </c>
      <c r="AC40" s="92"/>
      <c r="AD40" s="90" t="s">
        <v>90</v>
      </c>
      <c r="AE40" s="92"/>
      <c r="AF40" s="90" t="s">
        <v>90</v>
      </c>
      <c r="AG40" s="78"/>
      <c r="AH40" s="79"/>
      <c r="AI40" s="78"/>
      <c r="AJ40" s="79"/>
      <c r="AK40" s="78"/>
      <c r="AL40" s="79"/>
      <c r="AM40" s="31"/>
      <c r="AN40" s="112"/>
      <c r="AO40" s="112"/>
      <c r="AP40" s="113"/>
      <c r="AQ40" s="112"/>
      <c r="AR40" s="113"/>
      <c r="AS40" s="112"/>
      <c r="AT40" s="112"/>
      <c r="AU40" s="112"/>
      <c r="AV40" s="112"/>
      <c r="AW40" s="112"/>
      <c r="AX40" s="112"/>
      <c r="AY40" s="112"/>
    </row>
    <row r="41" ht="15.75" customHeight="1">
      <c r="A41" s="73" t="s">
        <v>92</v>
      </c>
      <c r="B41" s="90" t="s">
        <v>38</v>
      </c>
      <c r="C41" s="92"/>
      <c r="D41" s="90" t="s">
        <v>90</v>
      </c>
      <c r="E41" s="92"/>
      <c r="F41" s="90" t="s">
        <v>90</v>
      </c>
      <c r="G41" s="78"/>
      <c r="H41" s="79"/>
      <c r="I41" s="78"/>
      <c r="J41" s="79"/>
      <c r="K41" s="78"/>
      <c r="L41" s="79"/>
      <c r="M41" s="95"/>
      <c r="N41" s="96" t="s">
        <v>92</v>
      </c>
      <c r="O41" s="90" t="s">
        <v>38</v>
      </c>
      <c r="P41" s="92"/>
      <c r="Q41" s="90" t="s">
        <v>90</v>
      </c>
      <c r="R41" s="92"/>
      <c r="S41" s="90" t="s">
        <v>90</v>
      </c>
      <c r="T41" s="78"/>
      <c r="U41" s="79"/>
      <c r="V41" s="78"/>
      <c r="W41" s="79"/>
      <c r="X41" s="78"/>
      <c r="Y41" s="79"/>
      <c r="Z41" s="95"/>
      <c r="AA41" s="96" t="s">
        <v>92</v>
      </c>
      <c r="AB41" s="90" t="s">
        <v>38</v>
      </c>
      <c r="AC41" s="92"/>
      <c r="AD41" s="90" t="s">
        <v>90</v>
      </c>
      <c r="AE41" s="92"/>
      <c r="AF41" s="90" t="s">
        <v>90</v>
      </c>
      <c r="AG41" s="78"/>
      <c r="AH41" s="79"/>
      <c r="AI41" s="78"/>
      <c r="AJ41" s="79"/>
      <c r="AK41" s="78"/>
      <c r="AL41" s="79"/>
      <c r="AM41" s="31"/>
      <c r="AN41" s="115" t="s">
        <v>93</v>
      </c>
      <c r="AO41" s="112"/>
      <c r="AP41" s="113"/>
      <c r="AQ41" s="112"/>
      <c r="AR41" s="113"/>
      <c r="AS41" s="112"/>
      <c r="AT41" s="112"/>
      <c r="AU41" s="112"/>
      <c r="AV41" s="112"/>
      <c r="AW41" s="112"/>
      <c r="AX41" s="112"/>
      <c r="AY41" s="112"/>
    </row>
    <row r="42" ht="15.75" customHeight="1">
      <c r="A42" s="73" t="s">
        <v>94</v>
      </c>
      <c r="B42" s="90" t="s">
        <v>38</v>
      </c>
      <c r="C42" s="92"/>
      <c r="D42" s="90" t="s">
        <v>90</v>
      </c>
      <c r="E42" s="92"/>
      <c r="F42" s="90" t="s">
        <v>90</v>
      </c>
      <c r="G42" s="78"/>
      <c r="H42" s="79"/>
      <c r="I42" s="78"/>
      <c r="J42" s="79"/>
      <c r="K42" s="78"/>
      <c r="L42" s="79"/>
      <c r="M42" s="95"/>
      <c r="N42" s="96" t="s">
        <v>94</v>
      </c>
      <c r="O42" s="90" t="s">
        <v>38</v>
      </c>
      <c r="P42" s="92"/>
      <c r="Q42" s="90" t="s">
        <v>90</v>
      </c>
      <c r="R42" s="92"/>
      <c r="S42" s="90" t="s">
        <v>90</v>
      </c>
      <c r="T42" s="78"/>
      <c r="U42" s="79"/>
      <c r="V42" s="78"/>
      <c r="W42" s="79"/>
      <c r="X42" s="78"/>
      <c r="Y42" s="79"/>
      <c r="Z42" s="95"/>
      <c r="AA42" s="96" t="s">
        <v>94</v>
      </c>
      <c r="AB42" s="90" t="s">
        <v>38</v>
      </c>
      <c r="AC42" s="92"/>
      <c r="AD42" s="90" t="s">
        <v>90</v>
      </c>
      <c r="AE42" s="92"/>
      <c r="AF42" s="90" t="s">
        <v>90</v>
      </c>
      <c r="AG42" s="78"/>
      <c r="AH42" s="79"/>
      <c r="AI42" s="78"/>
      <c r="AJ42" s="79"/>
      <c r="AK42" s="78"/>
      <c r="AL42" s="79"/>
      <c r="AM42" s="31"/>
      <c r="AN42" s="112"/>
      <c r="AO42" s="112"/>
      <c r="AP42" s="113"/>
      <c r="AQ42" s="112"/>
      <c r="AR42" s="113"/>
      <c r="AS42" s="112"/>
      <c r="AT42" s="112"/>
      <c r="AU42" s="112"/>
      <c r="AV42" s="112"/>
      <c r="AW42" s="112"/>
      <c r="AX42" s="112"/>
      <c r="AY42" s="112"/>
    </row>
    <row r="43" ht="15.75" customHeight="1">
      <c r="A43" s="99" t="s">
        <v>95</v>
      </c>
      <c r="B43" s="90" t="s">
        <v>38</v>
      </c>
      <c r="C43" s="92"/>
      <c r="D43" s="90" t="s">
        <v>90</v>
      </c>
      <c r="E43" s="92"/>
      <c r="F43" s="90" t="s">
        <v>90</v>
      </c>
      <c r="G43" s="94"/>
      <c r="H43" s="90" t="s">
        <v>90</v>
      </c>
      <c r="I43" s="94"/>
      <c r="J43" s="90" t="s">
        <v>90</v>
      </c>
      <c r="K43" s="94"/>
      <c r="L43" s="90" t="s">
        <v>90</v>
      </c>
      <c r="M43" s="95"/>
      <c r="N43" s="100" t="s">
        <v>95</v>
      </c>
      <c r="O43" s="90" t="s">
        <v>38</v>
      </c>
      <c r="P43" s="92"/>
      <c r="Q43" s="90" t="s">
        <v>90</v>
      </c>
      <c r="R43" s="92"/>
      <c r="S43" s="90" t="s">
        <v>90</v>
      </c>
      <c r="T43" s="94"/>
      <c r="U43" s="90" t="s">
        <v>90</v>
      </c>
      <c r="V43" s="94"/>
      <c r="W43" s="90" t="s">
        <v>90</v>
      </c>
      <c r="X43" s="94"/>
      <c r="Y43" s="90" t="s">
        <v>90</v>
      </c>
      <c r="Z43" s="95"/>
      <c r="AA43" s="100" t="s">
        <v>95</v>
      </c>
      <c r="AB43" s="90" t="s">
        <v>38</v>
      </c>
      <c r="AC43" s="92"/>
      <c r="AD43" s="90" t="s">
        <v>90</v>
      </c>
      <c r="AE43" s="92"/>
      <c r="AF43" s="90" t="s">
        <v>90</v>
      </c>
      <c r="AG43" s="94"/>
      <c r="AH43" s="90" t="s">
        <v>90</v>
      </c>
      <c r="AI43" s="94"/>
      <c r="AJ43" s="90" t="s">
        <v>90</v>
      </c>
      <c r="AK43" s="94"/>
      <c r="AL43" s="90" t="s">
        <v>90</v>
      </c>
      <c r="AM43" s="31"/>
      <c r="AN43" s="112"/>
      <c r="AO43" s="112"/>
      <c r="AP43" s="113"/>
      <c r="AQ43" s="112"/>
      <c r="AR43" s="113"/>
      <c r="AS43" s="112"/>
      <c r="AT43" s="112"/>
      <c r="AU43" s="112"/>
      <c r="AV43" s="112"/>
      <c r="AW43" s="112"/>
      <c r="AX43" s="112"/>
      <c r="AY43" s="112"/>
    </row>
    <row r="44" ht="15.75" customHeight="1">
      <c r="A44" s="73" t="s">
        <v>96</v>
      </c>
      <c r="B44" s="110" t="s">
        <v>38</v>
      </c>
      <c r="C44" s="92"/>
      <c r="D44" s="90" t="s">
        <v>97</v>
      </c>
      <c r="E44" s="92"/>
      <c r="F44" s="76" t="s">
        <v>98</v>
      </c>
      <c r="G44" s="94"/>
      <c r="H44" s="76" t="s">
        <v>98</v>
      </c>
      <c r="I44" s="94"/>
      <c r="J44" s="76" t="s">
        <v>98</v>
      </c>
      <c r="K44" s="78"/>
      <c r="L44" s="79"/>
      <c r="M44" s="95"/>
      <c r="N44" s="96" t="s">
        <v>96</v>
      </c>
      <c r="O44" s="110" t="s">
        <v>38</v>
      </c>
      <c r="P44" s="92"/>
      <c r="Q44" s="90" t="s">
        <v>97</v>
      </c>
      <c r="R44" s="92"/>
      <c r="S44" s="76" t="s">
        <v>98</v>
      </c>
      <c r="T44" s="94"/>
      <c r="U44" s="76" t="s">
        <v>98</v>
      </c>
      <c r="V44" s="94"/>
      <c r="W44" s="76" t="s">
        <v>98</v>
      </c>
      <c r="X44" s="78"/>
      <c r="Y44" s="79"/>
      <c r="Z44" s="95"/>
      <c r="AA44" s="96" t="s">
        <v>96</v>
      </c>
      <c r="AB44" s="110" t="s">
        <v>38</v>
      </c>
      <c r="AC44" s="92"/>
      <c r="AD44" s="90" t="s">
        <v>97</v>
      </c>
      <c r="AE44" s="92"/>
      <c r="AF44" s="76" t="s">
        <v>98</v>
      </c>
      <c r="AG44" s="94"/>
      <c r="AH44" s="76" t="s">
        <v>98</v>
      </c>
      <c r="AI44" s="94"/>
      <c r="AJ44" s="76" t="s">
        <v>98</v>
      </c>
      <c r="AK44" s="78"/>
      <c r="AL44" s="79"/>
      <c r="AM44" s="31"/>
      <c r="AN44" s="117"/>
      <c r="AO44" s="118" t="s">
        <v>99</v>
      </c>
      <c r="AP44" s="119"/>
      <c r="AQ44" s="119"/>
      <c r="AR44" s="120"/>
      <c r="AS44" s="121"/>
      <c r="AT44" s="112"/>
      <c r="AU44" s="112"/>
      <c r="AV44" s="112"/>
      <c r="AW44" s="112"/>
      <c r="AX44" s="112"/>
      <c r="AY44" s="112"/>
    </row>
    <row r="45" ht="15.75" customHeight="1">
      <c r="A45" s="99" t="s">
        <v>100</v>
      </c>
      <c r="B45" s="90" t="s">
        <v>38</v>
      </c>
      <c r="C45" s="92"/>
      <c r="D45" s="90" t="s">
        <v>90</v>
      </c>
      <c r="E45" s="92"/>
      <c r="F45" s="90" t="s">
        <v>90</v>
      </c>
      <c r="G45" s="94"/>
      <c r="H45" s="90" t="s">
        <v>90</v>
      </c>
      <c r="I45" s="78"/>
      <c r="J45" s="122"/>
      <c r="K45" s="78"/>
      <c r="L45" s="122"/>
      <c r="M45" s="95"/>
      <c r="N45" s="100" t="s">
        <v>100</v>
      </c>
      <c r="O45" s="90" t="s">
        <v>38</v>
      </c>
      <c r="P45" s="92"/>
      <c r="Q45" s="90" t="s">
        <v>90</v>
      </c>
      <c r="R45" s="92"/>
      <c r="S45" s="90" t="s">
        <v>90</v>
      </c>
      <c r="T45" s="94"/>
      <c r="U45" s="90" t="s">
        <v>90</v>
      </c>
      <c r="V45" s="78"/>
      <c r="W45" s="122"/>
      <c r="X45" s="78"/>
      <c r="Y45" s="122"/>
      <c r="Z45" s="95"/>
      <c r="AA45" s="100" t="s">
        <v>100</v>
      </c>
      <c r="AB45" s="90" t="s">
        <v>38</v>
      </c>
      <c r="AC45" s="92"/>
      <c r="AD45" s="90" t="s">
        <v>90</v>
      </c>
      <c r="AE45" s="92"/>
      <c r="AF45" s="90" t="s">
        <v>90</v>
      </c>
      <c r="AG45" s="94"/>
      <c r="AH45" s="90" t="s">
        <v>90</v>
      </c>
      <c r="AI45" s="78"/>
      <c r="AJ45" s="122"/>
      <c r="AK45" s="78"/>
      <c r="AL45" s="122"/>
      <c r="AM45" s="31"/>
      <c r="AN45" s="123"/>
      <c r="AO45" s="124"/>
      <c r="AP45" s="4"/>
      <c r="AQ45" s="4"/>
      <c r="AR45" s="125"/>
      <c r="AS45" s="31"/>
      <c r="AT45" s="112"/>
      <c r="AU45" s="112"/>
      <c r="AV45" s="112"/>
      <c r="AW45" s="112"/>
      <c r="AX45" s="112"/>
      <c r="AY45" s="112"/>
    </row>
    <row r="46" ht="15.75" customHeight="1">
      <c r="A46" s="81" t="s">
        <v>101</v>
      </c>
      <c r="B46" s="101" t="s">
        <v>38</v>
      </c>
      <c r="C46" s="102"/>
      <c r="D46" s="101" t="s">
        <v>97</v>
      </c>
      <c r="E46" s="102"/>
      <c r="F46" s="98" t="s">
        <v>98</v>
      </c>
      <c r="G46" s="103"/>
      <c r="H46" s="84" t="s">
        <v>98</v>
      </c>
      <c r="I46" s="103"/>
      <c r="J46" s="84" t="s">
        <v>98</v>
      </c>
      <c r="K46" s="85"/>
      <c r="L46" s="86"/>
      <c r="M46" s="95"/>
      <c r="N46" s="104" t="s">
        <v>101</v>
      </c>
      <c r="O46" s="101" t="s">
        <v>38</v>
      </c>
      <c r="P46" s="102"/>
      <c r="Q46" s="101" t="s">
        <v>97</v>
      </c>
      <c r="R46" s="102"/>
      <c r="S46" s="98" t="s">
        <v>98</v>
      </c>
      <c r="T46" s="103"/>
      <c r="U46" s="84" t="s">
        <v>98</v>
      </c>
      <c r="V46" s="103"/>
      <c r="W46" s="84" t="s">
        <v>98</v>
      </c>
      <c r="X46" s="85"/>
      <c r="Y46" s="86"/>
      <c r="Z46" s="95"/>
      <c r="AA46" s="104" t="s">
        <v>101</v>
      </c>
      <c r="AB46" s="101" t="s">
        <v>38</v>
      </c>
      <c r="AC46" s="102"/>
      <c r="AD46" s="101" t="s">
        <v>97</v>
      </c>
      <c r="AE46" s="102"/>
      <c r="AF46" s="98" t="s">
        <v>98</v>
      </c>
      <c r="AG46" s="103"/>
      <c r="AH46" s="84" t="s">
        <v>98</v>
      </c>
      <c r="AI46" s="103"/>
      <c r="AJ46" s="84" t="s">
        <v>98</v>
      </c>
      <c r="AK46" s="85"/>
      <c r="AL46" s="86"/>
      <c r="AM46" s="31"/>
      <c r="AN46" s="126" t="s">
        <v>102</v>
      </c>
      <c r="AO46" s="127" t="s">
        <v>103</v>
      </c>
      <c r="AP46" s="127">
        <v>5.0</v>
      </c>
      <c r="AQ46" s="127" t="s">
        <v>104</v>
      </c>
      <c r="AR46" s="128" t="s">
        <v>105</v>
      </c>
      <c r="AS46" s="129"/>
      <c r="AT46" s="112"/>
      <c r="AU46" s="112"/>
      <c r="AV46" s="112"/>
      <c r="AW46" s="112"/>
      <c r="AX46" s="112"/>
      <c r="AY46" s="112"/>
    </row>
    <row r="47" ht="15.75" customHeight="1">
      <c r="A47" s="112"/>
      <c r="B47" s="112"/>
      <c r="C47" s="113"/>
      <c r="D47" s="112"/>
      <c r="E47" s="113"/>
      <c r="F47" s="111"/>
      <c r="G47" s="112"/>
      <c r="H47" s="112"/>
      <c r="I47" s="112"/>
      <c r="J47" s="112"/>
      <c r="K47" s="111"/>
      <c r="L47" s="111"/>
      <c r="N47" s="112"/>
      <c r="O47" s="112"/>
      <c r="P47" s="113"/>
      <c r="Q47" s="112"/>
      <c r="R47" s="113"/>
      <c r="S47" s="111"/>
      <c r="T47" s="112"/>
      <c r="U47" s="112"/>
      <c r="V47" s="112"/>
      <c r="W47" s="112"/>
      <c r="X47" s="111"/>
      <c r="Y47" s="111"/>
      <c r="AA47" s="112"/>
      <c r="AB47" s="112"/>
      <c r="AC47" s="113"/>
      <c r="AD47" s="112"/>
      <c r="AE47" s="113"/>
      <c r="AF47" s="111"/>
      <c r="AG47" s="112"/>
      <c r="AH47" s="112"/>
      <c r="AI47" s="112"/>
      <c r="AJ47" s="112"/>
      <c r="AK47" s="111"/>
      <c r="AL47" s="111"/>
      <c r="AN47" s="130" t="s">
        <v>106</v>
      </c>
      <c r="AO47" s="131">
        <f>IF(('Initial Inputs'!$F$8="kg"),MROUND(('Initial Inputs'!$B$10*0.98),2.5),MROUND(('Initial Inputs'!$B$10*0.98),5))</f>
        <v>315</v>
      </c>
      <c r="AP47" s="131">
        <f>IF(('Initial Inputs'!$F$8="kg"),MROUND(('Initial Inputs'!$B$10*1),2.5),MROUND(('Initial Inputs'!$B$10*1),5))</f>
        <v>320</v>
      </c>
      <c r="AQ47" s="131">
        <f>IF(('Initial Inputs'!$F$8="kg"),MROUND(('Initial Inputs'!$B$10*1.015),2.5),MROUND(('Initial Inputs'!$B$10*1.015),5))</f>
        <v>325</v>
      </c>
      <c r="AR47" s="131">
        <f>IF(('Initial Inputs'!$F$8="kg"),MROUND(('Initial Inputs'!$B$10*1.025),2.5),MROUND(('Initial Inputs'!$B$10*1.025),5))</f>
        <v>330</v>
      </c>
      <c r="AS47" s="132"/>
    </row>
    <row r="48" ht="15.75" customHeight="1">
      <c r="AN48" s="123"/>
      <c r="AO48" s="4"/>
      <c r="AP48" s="4"/>
      <c r="AQ48" s="4"/>
      <c r="AR48" s="125"/>
      <c r="AS48" s="31"/>
    </row>
    <row r="49" ht="15.75" customHeight="1">
      <c r="A49" s="61" t="s">
        <v>107</v>
      </c>
      <c r="C49" s="62" t="s">
        <v>30</v>
      </c>
      <c r="D49" s="63"/>
      <c r="E49" s="62" t="s">
        <v>31</v>
      </c>
      <c r="F49" s="63"/>
      <c r="G49" s="62" t="s">
        <v>32</v>
      </c>
      <c r="H49" s="63"/>
      <c r="I49" s="62" t="s">
        <v>33</v>
      </c>
      <c r="J49" s="63"/>
      <c r="K49" s="62" t="s">
        <v>34</v>
      </c>
      <c r="L49" s="63"/>
      <c r="N49" s="61" t="s">
        <v>108</v>
      </c>
      <c r="P49" s="62" t="s">
        <v>30</v>
      </c>
      <c r="Q49" s="63"/>
      <c r="R49" s="62" t="s">
        <v>31</v>
      </c>
      <c r="S49" s="63"/>
      <c r="T49" s="62" t="s">
        <v>32</v>
      </c>
      <c r="U49" s="63"/>
      <c r="V49" s="62" t="s">
        <v>33</v>
      </c>
      <c r="W49" s="63"/>
      <c r="X49" s="62" t="s">
        <v>34</v>
      </c>
      <c r="Y49" s="63"/>
      <c r="AA49" s="61" t="s">
        <v>109</v>
      </c>
      <c r="AC49" s="64" t="s">
        <v>30</v>
      </c>
      <c r="AD49" s="65"/>
      <c r="AE49" s="64" t="s">
        <v>31</v>
      </c>
      <c r="AF49" s="65"/>
      <c r="AG49" s="64" t="s">
        <v>32</v>
      </c>
      <c r="AH49" s="65"/>
      <c r="AI49" s="64" t="s">
        <v>33</v>
      </c>
      <c r="AJ49" s="65"/>
      <c r="AK49" s="64" t="s">
        <v>34</v>
      </c>
      <c r="AL49" s="63"/>
      <c r="AN49" s="126" t="s">
        <v>102</v>
      </c>
      <c r="AO49" s="127" t="s">
        <v>103</v>
      </c>
      <c r="AP49" s="127">
        <v>5.0</v>
      </c>
      <c r="AQ49" s="127" t="s">
        <v>104</v>
      </c>
      <c r="AR49" s="128" t="s">
        <v>105</v>
      </c>
      <c r="AS49" s="129"/>
      <c r="AT49" s="31"/>
      <c r="AU49" s="31"/>
      <c r="AV49" s="31"/>
      <c r="AW49" s="31"/>
      <c r="AX49" s="31"/>
      <c r="AY49" s="31"/>
    </row>
    <row r="50" ht="15.75" customHeight="1">
      <c r="A50" s="66" t="s">
        <v>7</v>
      </c>
      <c r="B50" s="88" t="s">
        <v>38</v>
      </c>
      <c r="C50" s="68">
        <f>IF(('Initial Inputs'!$F$8="kg"),MROUND(('Initial Inputs'!$B$10*0.825),2.5),MROUND(('Initial Inputs'!$B$10*0.825),5))</f>
        <v>265</v>
      </c>
      <c r="D50" s="69" t="s">
        <v>68</v>
      </c>
      <c r="E50" s="68">
        <f>C50</f>
        <v>265</v>
      </c>
      <c r="F50" s="69" t="s">
        <v>68</v>
      </c>
      <c r="G50" s="68">
        <f>E50</f>
        <v>265</v>
      </c>
      <c r="H50" s="69" t="s">
        <v>68</v>
      </c>
      <c r="I50" s="70"/>
      <c r="J50" s="71"/>
      <c r="K50" s="70"/>
      <c r="L50" s="71"/>
      <c r="N50" s="66" t="s">
        <v>110</v>
      </c>
      <c r="O50" s="88" t="s">
        <v>38</v>
      </c>
      <c r="P50" s="68">
        <f>IF(('Initial Inputs'!$F$8="kg"),MROUND(('Initial Inputs'!$B$10*0.825),2.5),MROUND(('Initial Inputs'!$B$10*0.825),5))</f>
        <v>265</v>
      </c>
      <c r="Q50" s="69" t="s">
        <v>68</v>
      </c>
      <c r="R50" s="68">
        <f>P50</f>
        <v>265</v>
      </c>
      <c r="S50" s="69" t="s">
        <v>68</v>
      </c>
      <c r="T50" s="68">
        <f>R50</f>
        <v>265</v>
      </c>
      <c r="U50" s="69" t="s">
        <v>68</v>
      </c>
      <c r="V50" s="68">
        <f>T50</f>
        <v>265</v>
      </c>
      <c r="W50" s="69" t="s">
        <v>84</v>
      </c>
      <c r="X50" s="70"/>
      <c r="Y50" s="71"/>
      <c r="Z50" s="95"/>
      <c r="AA50" s="133" t="s">
        <v>111</v>
      </c>
      <c r="AB50" s="88" t="s">
        <v>38</v>
      </c>
      <c r="AC50" s="75">
        <f>IF(('Initial Inputs'!$F$8="kg"),MROUND(($AE$5*0.825),2.5),MROUND(($AE$5*0.825),5))</f>
        <v>265</v>
      </c>
      <c r="AD50" s="69" t="s">
        <v>68</v>
      </c>
      <c r="AE50" s="75">
        <f>AC50</f>
        <v>265</v>
      </c>
      <c r="AF50" s="69" t="s">
        <v>68</v>
      </c>
      <c r="AG50" s="75">
        <f>AE50</f>
        <v>265</v>
      </c>
      <c r="AH50" s="69" t="s">
        <v>68</v>
      </c>
      <c r="AI50" s="75">
        <f>AG50</f>
        <v>265</v>
      </c>
      <c r="AJ50" s="69" t="s">
        <v>68</v>
      </c>
      <c r="AK50" s="75">
        <f>AI50</f>
        <v>265</v>
      </c>
      <c r="AL50" s="69" t="s">
        <v>84</v>
      </c>
      <c r="AM50" s="31"/>
      <c r="AN50" s="130" t="s">
        <v>112</v>
      </c>
      <c r="AO50" s="131">
        <f>IF(('Initial Inputs'!$F$8="kg"),MROUND(('Initial Inputs'!$B$11*0.98),2.5),MROUND(('Initial Inputs'!$B$11*0.98),5))</f>
        <v>255</v>
      </c>
      <c r="AP50" s="131">
        <f>IF(('Initial Inputs'!$F$8="kg"),MROUND(('Initial Inputs'!$B$11*1),2.5),MROUND(('Initial Inputs'!$B$11*1),5))</f>
        <v>260</v>
      </c>
      <c r="AQ50" s="131">
        <f>IF(('Initial Inputs'!$F$8="kg"),MROUND(('Initial Inputs'!$B$11*1.015),2.5),MROUND(('Initial Inputs'!$B$11*1.015),5))</f>
        <v>265</v>
      </c>
      <c r="AR50" s="131">
        <f>IF(('Initial Inputs'!$F$8="kg"),MROUND(('Initial Inputs'!$B$11*1.025),2.5),MROUND(('Initial Inputs'!$B$11*1.025),5))</f>
        <v>265</v>
      </c>
      <c r="AS50" s="132"/>
      <c r="AT50" s="112"/>
      <c r="AU50" s="112"/>
      <c r="AV50" s="112"/>
      <c r="AW50" s="112"/>
      <c r="AX50" s="112"/>
      <c r="AY50" s="112"/>
    </row>
    <row r="51" ht="15.75" customHeight="1">
      <c r="A51" s="73" t="s">
        <v>113</v>
      </c>
      <c r="B51" s="90" t="s">
        <v>38</v>
      </c>
      <c r="C51" s="91"/>
      <c r="D51" s="76" t="s">
        <v>97</v>
      </c>
      <c r="E51" s="92"/>
      <c r="F51" s="76" t="s">
        <v>98</v>
      </c>
      <c r="G51" s="94"/>
      <c r="H51" s="76" t="s">
        <v>98</v>
      </c>
      <c r="I51" s="94"/>
      <c r="J51" s="76" t="s">
        <v>98</v>
      </c>
      <c r="K51" s="78"/>
      <c r="L51" s="79"/>
      <c r="M51" s="95"/>
      <c r="N51" s="96" t="s">
        <v>113</v>
      </c>
      <c r="O51" s="90" t="s">
        <v>38</v>
      </c>
      <c r="P51" s="91"/>
      <c r="Q51" s="76" t="s">
        <v>97</v>
      </c>
      <c r="R51" s="92"/>
      <c r="S51" s="76" t="s">
        <v>98</v>
      </c>
      <c r="T51" s="94"/>
      <c r="U51" s="76" t="s">
        <v>98</v>
      </c>
      <c r="V51" s="94"/>
      <c r="W51" s="76" t="s">
        <v>98</v>
      </c>
      <c r="X51" s="78"/>
      <c r="Y51" s="79"/>
      <c r="Z51" s="95"/>
      <c r="AA51" s="96" t="s">
        <v>113</v>
      </c>
      <c r="AB51" s="90" t="s">
        <v>38</v>
      </c>
      <c r="AC51" s="91"/>
      <c r="AD51" s="76" t="s">
        <v>97</v>
      </c>
      <c r="AE51" s="92"/>
      <c r="AF51" s="76" t="s">
        <v>98</v>
      </c>
      <c r="AG51" s="94"/>
      <c r="AH51" s="76" t="s">
        <v>98</v>
      </c>
      <c r="AI51" s="77"/>
      <c r="AJ51" s="76" t="s">
        <v>98</v>
      </c>
      <c r="AK51" s="78"/>
      <c r="AL51" s="79"/>
      <c r="AM51" s="31"/>
      <c r="AN51" s="123"/>
      <c r="AO51" s="4"/>
      <c r="AP51" s="4"/>
      <c r="AQ51" s="4"/>
      <c r="AR51" s="125"/>
      <c r="AS51" s="31"/>
      <c r="AT51" s="31"/>
      <c r="AU51" s="31"/>
      <c r="AV51" s="31"/>
      <c r="AW51" s="31"/>
      <c r="AX51" s="31"/>
      <c r="AY51" s="31"/>
    </row>
    <row r="52" ht="15.75" customHeight="1">
      <c r="A52" s="73" t="s">
        <v>114</v>
      </c>
      <c r="B52" s="90" t="s">
        <v>38</v>
      </c>
      <c r="C52" s="92"/>
      <c r="D52" s="90" t="s">
        <v>97</v>
      </c>
      <c r="E52" s="92"/>
      <c r="F52" s="76" t="s">
        <v>98</v>
      </c>
      <c r="G52" s="94"/>
      <c r="H52" s="76" t="s">
        <v>98</v>
      </c>
      <c r="I52" s="94"/>
      <c r="J52" s="76" t="s">
        <v>98</v>
      </c>
      <c r="K52" s="78"/>
      <c r="L52" s="79"/>
      <c r="M52" s="95"/>
      <c r="N52" s="96" t="s">
        <v>114</v>
      </c>
      <c r="O52" s="90" t="s">
        <v>38</v>
      </c>
      <c r="P52" s="92"/>
      <c r="Q52" s="90" t="s">
        <v>97</v>
      </c>
      <c r="R52" s="92"/>
      <c r="S52" s="76" t="s">
        <v>98</v>
      </c>
      <c r="T52" s="94"/>
      <c r="U52" s="76" t="s">
        <v>98</v>
      </c>
      <c r="V52" s="94"/>
      <c r="W52" s="76" t="s">
        <v>98</v>
      </c>
      <c r="X52" s="78"/>
      <c r="Y52" s="79"/>
      <c r="Z52" s="95"/>
      <c r="AA52" s="96" t="s">
        <v>114</v>
      </c>
      <c r="AB52" s="90" t="s">
        <v>38</v>
      </c>
      <c r="AC52" s="92"/>
      <c r="AD52" s="90" t="s">
        <v>97</v>
      </c>
      <c r="AE52" s="92"/>
      <c r="AF52" s="76" t="s">
        <v>98</v>
      </c>
      <c r="AG52" s="94"/>
      <c r="AH52" s="76" t="s">
        <v>98</v>
      </c>
      <c r="AI52" s="94"/>
      <c r="AJ52" s="76" t="s">
        <v>98</v>
      </c>
      <c r="AK52" s="78"/>
      <c r="AL52" s="79"/>
      <c r="AM52" s="31"/>
      <c r="AN52" s="126" t="s">
        <v>102</v>
      </c>
      <c r="AO52" s="127" t="s">
        <v>103</v>
      </c>
      <c r="AP52" s="127">
        <v>5.0</v>
      </c>
      <c r="AQ52" s="127" t="s">
        <v>104</v>
      </c>
      <c r="AR52" s="128" t="s">
        <v>105</v>
      </c>
      <c r="AS52" s="129"/>
      <c r="AT52" s="112"/>
      <c r="AU52" s="112"/>
      <c r="AV52" s="112"/>
      <c r="AW52" s="112"/>
      <c r="AX52" s="112"/>
      <c r="AY52" s="112"/>
    </row>
    <row r="53" ht="15.75" customHeight="1">
      <c r="A53" s="73" t="s">
        <v>69</v>
      </c>
      <c r="B53" s="90" t="s">
        <v>38</v>
      </c>
      <c r="C53" s="92"/>
      <c r="D53" s="90" t="s">
        <v>70</v>
      </c>
      <c r="E53" s="92"/>
      <c r="F53" s="90" t="s">
        <v>70</v>
      </c>
      <c r="G53" s="94"/>
      <c r="H53" s="90" t="s">
        <v>70</v>
      </c>
      <c r="I53" s="78"/>
      <c r="J53" s="79"/>
      <c r="K53" s="109"/>
      <c r="L53" s="108"/>
      <c r="M53" s="95"/>
      <c r="N53" s="96" t="s">
        <v>69</v>
      </c>
      <c r="O53" s="90" t="s">
        <v>38</v>
      </c>
      <c r="P53" s="92"/>
      <c r="Q53" s="90" t="s">
        <v>70</v>
      </c>
      <c r="R53" s="92"/>
      <c r="S53" s="90" t="s">
        <v>70</v>
      </c>
      <c r="T53" s="94"/>
      <c r="U53" s="90" t="s">
        <v>70</v>
      </c>
      <c r="V53" s="78"/>
      <c r="W53" s="79"/>
      <c r="X53" s="109"/>
      <c r="Y53" s="108"/>
      <c r="Z53" s="95"/>
      <c r="AA53" s="96" t="s">
        <v>69</v>
      </c>
      <c r="AB53" s="90" t="s">
        <v>38</v>
      </c>
      <c r="AC53" s="92"/>
      <c r="AD53" s="90" t="s">
        <v>70</v>
      </c>
      <c r="AE53" s="92"/>
      <c r="AF53" s="90" t="s">
        <v>70</v>
      </c>
      <c r="AG53" s="94"/>
      <c r="AH53" s="90" t="s">
        <v>70</v>
      </c>
      <c r="AI53" s="78"/>
      <c r="AJ53" s="79"/>
      <c r="AK53" s="109"/>
      <c r="AL53" s="108"/>
      <c r="AM53" s="31"/>
      <c r="AN53" s="130" t="s">
        <v>115</v>
      </c>
      <c r="AO53" s="131">
        <f>IF(('Initial Inputs'!$F$8="kg"),MROUND(('Initial Inputs'!$B$12*0.98),2.5),MROUND(('Initial Inputs'!$B$12*0.98),5))</f>
        <v>410</v>
      </c>
      <c r="AP53" s="131">
        <f>IF(('Initial Inputs'!$F$8="kg"),MROUND(('Initial Inputs'!$B$12*1),2.5),MROUND(('Initial Inputs'!$B$12*1),5))</f>
        <v>420</v>
      </c>
      <c r="AQ53" s="131">
        <f>IF(('Initial Inputs'!$F$8="kg"),MROUND(('Initial Inputs'!$B$12*1.015),2.5),MROUND(('Initial Inputs'!$B$12*1.015),5))</f>
        <v>425</v>
      </c>
      <c r="AR53" s="131">
        <f>IF(('Initial Inputs'!$F$8="kg"),MROUND(('Initial Inputs'!$B$12*1.025),2.5),MROUND(('Initial Inputs'!$B$12*1.025),5))</f>
        <v>430</v>
      </c>
      <c r="AS53" s="132"/>
      <c r="AT53" s="113"/>
      <c r="AU53" s="112"/>
      <c r="AV53" s="113"/>
      <c r="AW53" s="112"/>
      <c r="AX53" s="113"/>
      <c r="AY53" s="112"/>
    </row>
    <row r="54" ht="15.75" customHeight="1">
      <c r="A54" s="73" t="s">
        <v>71</v>
      </c>
      <c r="B54" s="90" t="s">
        <v>38</v>
      </c>
      <c r="C54" s="92"/>
      <c r="D54" s="90" t="s">
        <v>72</v>
      </c>
      <c r="E54" s="92"/>
      <c r="F54" s="90" t="s">
        <v>72</v>
      </c>
      <c r="G54" s="94"/>
      <c r="H54" s="90" t="s">
        <v>72</v>
      </c>
      <c r="I54" s="78"/>
      <c r="J54" s="79"/>
      <c r="K54" s="109"/>
      <c r="L54" s="108"/>
      <c r="M54" s="95"/>
      <c r="N54" s="96" t="s">
        <v>71</v>
      </c>
      <c r="O54" s="90" t="s">
        <v>38</v>
      </c>
      <c r="P54" s="92"/>
      <c r="Q54" s="90" t="s">
        <v>72</v>
      </c>
      <c r="R54" s="92"/>
      <c r="S54" s="90" t="s">
        <v>72</v>
      </c>
      <c r="T54" s="94"/>
      <c r="U54" s="90" t="s">
        <v>72</v>
      </c>
      <c r="V54" s="78"/>
      <c r="W54" s="79"/>
      <c r="X54" s="109"/>
      <c r="Y54" s="108"/>
      <c r="Z54" s="95"/>
      <c r="AA54" s="96" t="s">
        <v>71</v>
      </c>
      <c r="AB54" s="90" t="s">
        <v>38</v>
      </c>
      <c r="AC54" s="92"/>
      <c r="AD54" s="90" t="s">
        <v>72</v>
      </c>
      <c r="AE54" s="92"/>
      <c r="AF54" s="90" t="s">
        <v>72</v>
      </c>
      <c r="AG54" s="94"/>
      <c r="AH54" s="90" t="s">
        <v>72</v>
      </c>
      <c r="AI54" s="78"/>
      <c r="AJ54" s="79"/>
      <c r="AK54" s="109"/>
      <c r="AL54" s="108"/>
      <c r="AM54" s="31"/>
      <c r="AN54" s="123"/>
      <c r="AO54" s="4"/>
      <c r="AP54" s="4"/>
      <c r="AQ54" s="4"/>
      <c r="AR54" s="125"/>
      <c r="AS54" s="31"/>
      <c r="AT54" s="112"/>
      <c r="AU54" s="112"/>
      <c r="AV54" s="112"/>
      <c r="AW54" s="112"/>
      <c r="AX54" s="112"/>
      <c r="AY54" s="112"/>
    </row>
    <row r="55" ht="15.75" customHeight="1">
      <c r="A55" s="73" t="s">
        <v>53</v>
      </c>
      <c r="B55" s="90" t="s">
        <v>38</v>
      </c>
      <c r="C55" s="92"/>
      <c r="D55" s="90" t="s">
        <v>90</v>
      </c>
      <c r="E55" s="92"/>
      <c r="F55" s="90" t="s">
        <v>90</v>
      </c>
      <c r="G55" s="94"/>
      <c r="H55" s="90" t="s">
        <v>90</v>
      </c>
      <c r="I55" s="78"/>
      <c r="J55" s="79"/>
      <c r="K55" s="109"/>
      <c r="L55" s="108"/>
      <c r="M55" s="95"/>
      <c r="N55" s="96" t="s">
        <v>53</v>
      </c>
      <c r="O55" s="90" t="s">
        <v>38</v>
      </c>
      <c r="P55" s="92"/>
      <c r="Q55" s="90" t="s">
        <v>90</v>
      </c>
      <c r="R55" s="92"/>
      <c r="S55" s="90" t="s">
        <v>90</v>
      </c>
      <c r="T55" s="94"/>
      <c r="U55" s="90" t="s">
        <v>90</v>
      </c>
      <c r="V55" s="78"/>
      <c r="W55" s="79"/>
      <c r="X55" s="109"/>
      <c r="Y55" s="108"/>
      <c r="Z55" s="95"/>
      <c r="AA55" s="96" t="s">
        <v>53</v>
      </c>
      <c r="AB55" s="90" t="s">
        <v>38</v>
      </c>
      <c r="AC55" s="92"/>
      <c r="AD55" s="90" t="s">
        <v>90</v>
      </c>
      <c r="AE55" s="92"/>
      <c r="AF55" s="90" t="s">
        <v>90</v>
      </c>
      <c r="AG55" s="94"/>
      <c r="AH55" s="90" t="s">
        <v>90</v>
      </c>
      <c r="AI55" s="78"/>
      <c r="AJ55" s="79"/>
      <c r="AK55" s="109"/>
      <c r="AL55" s="108"/>
      <c r="AM55" s="31"/>
      <c r="AN55" s="134" t="s">
        <v>116</v>
      </c>
      <c r="AO55" s="4"/>
      <c r="AP55" s="4"/>
      <c r="AQ55" s="4"/>
      <c r="AR55" s="125"/>
      <c r="AS55" s="31"/>
      <c r="AT55" s="112"/>
      <c r="AU55" s="112"/>
      <c r="AV55" s="112"/>
      <c r="AW55" s="112"/>
      <c r="AX55" s="112"/>
      <c r="AY55" s="112"/>
    </row>
    <row r="56" ht="15.75" customHeight="1">
      <c r="A56" s="81" t="s">
        <v>73</v>
      </c>
      <c r="B56" s="101" t="s">
        <v>38</v>
      </c>
      <c r="C56" s="102"/>
      <c r="D56" s="101" t="s">
        <v>97</v>
      </c>
      <c r="E56" s="102"/>
      <c r="F56" s="84" t="s">
        <v>98</v>
      </c>
      <c r="G56" s="103"/>
      <c r="H56" s="84" t="s">
        <v>98</v>
      </c>
      <c r="I56" s="103"/>
      <c r="J56" s="84" t="s">
        <v>98</v>
      </c>
      <c r="K56" s="85"/>
      <c r="L56" s="86"/>
      <c r="M56" s="95"/>
      <c r="N56" s="104" t="s">
        <v>73</v>
      </c>
      <c r="O56" s="101" t="s">
        <v>38</v>
      </c>
      <c r="P56" s="102"/>
      <c r="Q56" s="101" t="s">
        <v>97</v>
      </c>
      <c r="R56" s="102"/>
      <c r="S56" s="84" t="s">
        <v>98</v>
      </c>
      <c r="T56" s="103"/>
      <c r="U56" s="84" t="s">
        <v>98</v>
      </c>
      <c r="V56" s="103"/>
      <c r="W56" s="84" t="s">
        <v>98</v>
      </c>
      <c r="X56" s="85"/>
      <c r="Y56" s="86"/>
      <c r="Z56" s="95"/>
      <c r="AA56" s="104" t="s">
        <v>73</v>
      </c>
      <c r="AB56" s="101" t="s">
        <v>38</v>
      </c>
      <c r="AC56" s="102"/>
      <c r="AD56" s="101" t="s">
        <v>97</v>
      </c>
      <c r="AE56" s="102"/>
      <c r="AF56" s="84" t="s">
        <v>98</v>
      </c>
      <c r="AG56" s="103"/>
      <c r="AH56" s="84" t="s">
        <v>98</v>
      </c>
      <c r="AI56" s="103"/>
      <c r="AJ56" s="84" t="s">
        <v>98</v>
      </c>
      <c r="AK56" s="85"/>
      <c r="AL56" s="86"/>
      <c r="AM56" s="31"/>
      <c r="AN56" s="134" t="s">
        <v>117</v>
      </c>
      <c r="AO56" s="4"/>
      <c r="AP56" s="4"/>
      <c r="AQ56" s="4"/>
      <c r="AR56" s="125"/>
      <c r="AS56" s="31"/>
      <c r="AT56" s="112"/>
      <c r="AU56" s="112"/>
      <c r="AV56" s="112"/>
      <c r="AW56" s="112"/>
      <c r="AX56" s="112"/>
      <c r="AY56" s="112"/>
    </row>
    <row r="57" ht="15.75" customHeight="1">
      <c r="AN57" s="134"/>
      <c r="AO57" s="4"/>
      <c r="AP57" s="4"/>
      <c r="AQ57" s="4"/>
      <c r="AR57" s="125"/>
      <c r="AS57" s="31"/>
      <c r="AT57" s="112"/>
      <c r="AU57" s="112"/>
      <c r="AV57" s="112"/>
      <c r="AW57" s="112"/>
      <c r="AX57" s="112"/>
      <c r="AY57" s="112"/>
    </row>
    <row r="58" ht="15.75" customHeight="1">
      <c r="A58" s="115" t="s">
        <v>118</v>
      </c>
      <c r="N58" s="115" t="s">
        <v>119</v>
      </c>
      <c r="AA58" s="115" t="s">
        <v>120</v>
      </c>
      <c r="AN58" s="135" t="s">
        <v>121</v>
      </c>
      <c r="AO58" s="124"/>
      <c r="AP58" s="136"/>
      <c r="AQ58" s="124"/>
      <c r="AR58" s="137"/>
      <c r="AS58" s="112"/>
      <c r="AT58" s="112"/>
      <c r="AU58" s="112"/>
      <c r="AV58" s="112"/>
      <c r="AW58" s="112"/>
      <c r="AX58" s="112"/>
      <c r="AY58" s="112"/>
    </row>
    <row r="59" ht="15.75" customHeight="1">
      <c r="AN59" s="138" t="s">
        <v>122</v>
      </c>
      <c r="AO59" s="139"/>
      <c r="AP59" s="140"/>
      <c r="AQ59" s="139"/>
      <c r="AR59" s="141"/>
      <c r="AS59" s="112"/>
      <c r="AT59" s="112"/>
      <c r="AU59" s="112"/>
      <c r="AV59" s="112"/>
      <c r="AW59" s="112"/>
      <c r="AX59" s="112"/>
      <c r="AY59" s="112"/>
    </row>
    <row r="60" ht="15.75" customHeight="1"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</row>
    <row r="61" ht="15.75" customHeight="1">
      <c r="N61" s="117"/>
      <c r="O61" s="118" t="s">
        <v>123</v>
      </c>
      <c r="P61" s="119"/>
      <c r="Q61" s="119"/>
      <c r="R61" s="119"/>
      <c r="S61" s="120"/>
      <c r="T61" s="121"/>
      <c r="U61" s="121"/>
      <c r="AA61" s="117"/>
      <c r="AB61" s="118" t="s">
        <v>124</v>
      </c>
      <c r="AC61" s="119"/>
      <c r="AD61" s="119"/>
      <c r="AE61" s="119"/>
      <c r="AF61" s="120"/>
      <c r="AN61" s="115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</row>
    <row r="62" ht="15.75" customHeight="1">
      <c r="N62" s="123"/>
      <c r="O62" s="124"/>
      <c r="P62" s="4"/>
      <c r="Q62" s="4"/>
      <c r="R62" s="4"/>
      <c r="S62" s="125"/>
      <c r="AA62" s="123"/>
      <c r="AB62" s="124"/>
      <c r="AC62" s="4"/>
      <c r="AD62" s="4"/>
      <c r="AE62" s="4"/>
      <c r="AF62" s="125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</row>
    <row r="63" ht="15.75" customHeight="1">
      <c r="N63" s="126" t="s">
        <v>102</v>
      </c>
      <c r="O63" s="127" t="s">
        <v>103</v>
      </c>
      <c r="P63" s="127" t="s">
        <v>125</v>
      </c>
      <c r="Q63" s="127" t="s">
        <v>126</v>
      </c>
      <c r="R63" s="127" t="s">
        <v>127</v>
      </c>
      <c r="S63" s="142" t="s">
        <v>128</v>
      </c>
      <c r="AA63" s="126" t="s">
        <v>102</v>
      </c>
      <c r="AB63" s="127" t="s">
        <v>103</v>
      </c>
      <c r="AC63" s="127" t="s">
        <v>125</v>
      </c>
      <c r="AD63" s="127" t="s">
        <v>126</v>
      </c>
      <c r="AE63" s="127" t="s">
        <v>127</v>
      </c>
      <c r="AF63" s="142" t="s">
        <v>128</v>
      </c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</row>
    <row r="64" ht="22.5" customHeight="1">
      <c r="N64" s="130" t="s">
        <v>106</v>
      </c>
      <c r="O64" s="131">
        <f>IF(('Initial Inputs'!$F$8="kg"),MROUND(('Initial Inputs'!$B$10*0.97),2.5),MROUND(('Initial Inputs'!$B$10*0.97),5))</f>
        <v>310</v>
      </c>
      <c r="P64" s="131">
        <f>IF(('Initial Inputs'!$F$8="kg"),MROUND(('Initial Inputs'!$B$10*1),2.5),MROUND(('Initial Inputs'!$B$10*1),5))</f>
        <v>320</v>
      </c>
      <c r="Q64" s="131">
        <f>IF(('Initial Inputs'!$F$8="kg"),MROUND(('Initial Inputs'!$B$10*1.015),2.5),MROUND(('Initial Inputs'!$B$10*1.015),5))</f>
        <v>325</v>
      </c>
      <c r="R64" s="131">
        <f>IF(('Initial Inputs'!$F$8="kg"),MROUND(('Initial Inputs'!$B$10*1.03),2.5),MROUND(('Initial Inputs'!$B$10*1.03),5))</f>
        <v>330</v>
      </c>
      <c r="S64" s="131">
        <f>IF(('Initial Inputs'!$F$8="kg"),MROUND(('Initial Inputs'!$B$10*1.04),2.5),MROUND(('Initial Inputs'!$B$10*1.045),5))</f>
        <v>335</v>
      </c>
      <c r="AA64" s="130" t="s">
        <v>106</v>
      </c>
      <c r="AB64" s="131">
        <f>IF(('Initial Inputs'!$F$8="kg"),MROUND(($AE$5/1.03),2.5),MROUND(($AE$5/1.03),5))</f>
        <v>310</v>
      </c>
      <c r="AC64" s="131">
        <f>IF(('Initial Inputs'!$F$8="kg"),MROUND(($AE$5*1),2.5),MROUND(($AE$5*1),5))</f>
        <v>320</v>
      </c>
      <c r="AD64" s="131">
        <f>IF(('Initial Inputs'!$F$8="kg"),MROUND(($AE$5*1.015),2.5),MROUND(($AE$5*1.015),5))</f>
        <v>325</v>
      </c>
      <c r="AE64" s="131">
        <f>IF(('Initial Inputs'!$F$8="kg"),MROUND(($AE$5*1.03),2.5),MROUND(($AE$5*1.03),5))</f>
        <v>330</v>
      </c>
      <c r="AF64" s="131">
        <f>IF(('Initial Inputs'!$F$8="kg"),MROUND(($AE$5*1.045),2.5),MROUND(($AE$5*1.045),5))</f>
        <v>335</v>
      </c>
    </row>
    <row r="65" ht="15.75" customHeight="1">
      <c r="N65" s="123"/>
      <c r="O65" s="4"/>
      <c r="P65" s="4"/>
      <c r="Q65" s="4"/>
      <c r="R65" s="4"/>
      <c r="S65" s="125"/>
      <c r="AA65" s="123"/>
      <c r="AB65" s="4"/>
      <c r="AC65" s="4"/>
      <c r="AD65" s="4"/>
      <c r="AE65" s="4"/>
      <c r="AF65" s="125"/>
    </row>
    <row r="66" ht="15.75" customHeight="1">
      <c r="N66" s="126" t="s">
        <v>102</v>
      </c>
      <c r="O66" s="127" t="s">
        <v>103</v>
      </c>
      <c r="P66" s="127" t="s">
        <v>125</v>
      </c>
      <c r="Q66" s="127" t="s">
        <v>126</v>
      </c>
      <c r="R66" s="127" t="s">
        <v>127</v>
      </c>
      <c r="S66" s="142" t="s">
        <v>128</v>
      </c>
      <c r="AA66" s="126" t="s">
        <v>102</v>
      </c>
      <c r="AB66" s="127" t="s">
        <v>103</v>
      </c>
      <c r="AC66" s="127" t="s">
        <v>125</v>
      </c>
      <c r="AD66" s="127" t="s">
        <v>126</v>
      </c>
      <c r="AE66" s="127" t="s">
        <v>127</v>
      </c>
      <c r="AF66" s="142" t="s">
        <v>128</v>
      </c>
    </row>
    <row r="67" ht="22.5" customHeight="1">
      <c r="N67" s="130" t="s">
        <v>112</v>
      </c>
      <c r="O67" s="131">
        <f>IF(('Initial Inputs'!$F$8="kg"),MROUND(('Initial Inputs'!$B$11*0.97),2.5),MROUND(('Initial Inputs'!$B$11*0.97),5))</f>
        <v>250</v>
      </c>
      <c r="P67" s="131">
        <f>IF(('Initial Inputs'!$F$8="kg"),MROUND(('Initial Inputs'!$B$11*1),2.5),MROUND(('Initial Inputs'!$B$11*1),5))</f>
        <v>260</v>
      </c>
      <c r="Q67" s="131">
        <f>IF(('Initial Inputs'!$F$8="kg"),MROUND(('Initial Inputs'!$B$11*1.015),2.5),MROUND(('Initial Inputs'!$B$11*1.015),5))</f>
        <v>265</v>
      </c>
      <c r="R67" s="131">
        <f>IF(('Initial Inputs'!$F$8="kg"),MROUND(('Initial Inputs'!$B$11*1.03),2.5),MROUND(('Initial Inputs'!$B$11*1.03),5))</f>
        <v>270</v>
      </c>
      <c r="S67" s="131">
        <f>IF(('Initial Inputs'!$F$8="kg"),MROUND(('Initial Inputs'!$B$11*1.04),2.5),MROUND(('Initial Inputs'!$B$11*1.045),5))</f>
        <v>270</v>
      </c>
      <c r="AA67" s="130" t="s">
        <v>112</v>
      </c>
      <c r="AB67" s="131">
        <f>IF(('Initial Inputs'!$F$8="kg"),MROUND(($AE$6/1.03),2.5),MROUND(($AE$6/1.03),5))</f>
        <v>230</v>
      </c>
      <c r="AC67" s="131">
        <f>IF(('Initial Inputs'!$F$8="kg"),MROUND(($AE$6*1),2.5),MROUND(($AE$6*1),5))</f>
        <v>235</v>
      </c>
      <c r="AD67" s="131">
        <f>IF(('Initial Inputs'!$F$8="kg"),MROUND(($AE$6*1.015),2.5),MROUND(($AE$6*1.015),5))</f>
        <v>240</v>
      </c>
      <c r="AE67" s="131">
        <f>IF(('Initial Inputs'!$F$8="kg"),MROUND(($AE$6*1.03),2.5),MROUND(($AE$6*1.03),5))</f>
        <v>240</v>
      </c>
      <c r="AF67" s="131">
        <f>IF(('Initial Inputs'!$F$8="kg"),MROUND(($AE$6*1.04),2.5),MROUND(($AE$6*1.04),5))</f>
        <v>245</v>
      </c>
    </row>
    <row r="68" ht="15.75" customHeight="1">
      <c r="N68" s="123"/>
      <c r="O68" s="4"/>
      <c r="P68" s="4"/>
      <c r="Q68" s="4"/>
      <c r="R68" s="4"/>
      <c r="S68" s="125"/>
      <c r="AA68" s="123"/>
      <c r="AB68" s="4"/>
      <c r="AC68" s="4"/>
      <c r="AD68" s="4"/>
      <c r="AE68" s="4"/>
      <c r="AF68" s="125"/>
    </row>
    <row r="69" ht="15.75" customHeight="1">
      <c r="N69" s="126" t="s">
        <v>102</v>
      </c>
      <c r="O69" s="127" t="s">
        <v>129</v>
      </c>
      <c r="P69" s="127" t="s">
        <v>130</v>
      </c>
      <c r="Q69" s="127" t="s">
        <v>104</v>
      </c>
      <c r="R69" s="127" t="s">
        <v>131</v>
      </c>
      <c r="S69" s="142" t="s">
        <v>132</v>
      </c>
      <c r="AA69" s="126" t="s">
        <v>102</v>
      </c>
      <c r="AB69" s="127" t="s">
        <v>129</v>
      </c>
      <c r="AC69" s="127" t="s">
        <v>130</v>
      </c>
      <c r="AD69" s="127" t="s">
        <v>104</v>
      </c>
      <c r="AE69" s="127" t="s">
        <v>131</v>
      </c>
      <c r="AF69" s="142" t="s">
        <v>132</v>
      </c>
    </row>
    <row r="70" ht="22.5" customHeight="1">
      <c r="N70" s="130" t="s">
        <v>115</v>
      </c>
      <c r="O70" s="131">
        <f>IF(('Initial Inputs'!$F$8="kg"),MROUND(('Initial Inputs'!$B$12*0.97),2.5),MROUND(('Initial Inputs'!$B$12*0.97),5))</f>
        <v>405</v>
      </c>
      <c r="P70" s="131">
        <f>IF(('Initial Inputs'!$F$8="kg"),MROUND(('Initial Inputs'!$B$12*1),2.5),MROUND(('Initial Inputs'!$B$12*1),5))</f>
        <v>420</v>
      </c>
      <c r="Q70" s="131">
        <f>IF(('Initial Inputs'!$F$8="kg"),MROUND(('Initial Inputs'!$B$12*1.015),2.5),MROUND(('Initial Inputs'!$B$12*1.015),5))</f>
        <v>425</v>
      </c>
      <c r="R70" s="131">
        <f>IF(('Initial Inputs'!$F$8="kg"),MROUND(('Initial Inputs'!$B$12*1.03),2.5),MROUND(('Initial Inputs'!$B$12*1.03),5))</f>
        <v>435</v>
      </c>
      <c r="S70" s="131">
        <f>IF(('Initial Inputs'!$F$8="kg"),MROUND(('Initial Inputs'!$B$12*1.04),2.5),MROUND(('Initial Inputs'!$B$12*1.05),5))</f>
        <v>440</v>
      </c>
      <c r="AA70" s="130" t="s">
        <v>115</v>
      </c>
      <c r="AB70" s="131">
        <f>IF(('Initial Inputs'!$F$8="kg"),MROUND(($AE$7/1.03),2.5),MROUND(($AE$7/1.03),5))</f>
        <v>410</v>
      </c>
      <c r="AC70" s="131">
        <f>IF(('Initial Inputs'!$F$8="kg"),MROUND(($AE$7*1),2.5),MROUND(($AE$7*1),5))</f>
        <v>420</v>
      </c>
      <c r="AD70" s="131">
        <f>IF(('Initial Inputs'!$F$8="kg"),MROUND(($AE$7*1.015),2.5),MROUND(($AE$7*1.015),5))</f>
        <v>425</v>
      </c>
      <c r="AE70" s="131">
        <f>IF(('Initial Inputs'!$F$8="kg"),MROUND(($AE$7*1.03),2.5),MROUND(($AE$7*1.03),5))</f>
        <v>435</v>
      </c>
      <c r="AF70" s="131">
        <f>IF(('Initial Inputs'!$F$8="kg"),MROUND(($AE$7*1.04),2.5),MROUND(($AE$7*1.04),5))</f>
        <v>435</v>
      </c>
    </row>
    <row r="71" ht="15.75" customHeight="1">
      <c r="N71" s="123"/>
      <c r="O71" s="4"/>
      <c r="P71" s="4"/>
      <c r="Q71" s="4"/>
      <c r="R71" s="4"/>
      <c r="S71" s="125"/>
      <c r="AA71" s="123"/>
      <c r="AB71" s="4"/>
      <c r="AC71" s="4"/>
      <c r="AD71" s="4"/>
      <c r="AE71" s="4"/>
      <c r="AF71" s="125"/>
    </row>
    <row r="72" ht="15.75" customHeight="1">
      <c r="N72" s="134" t="s">
        <v>133</v>
      </c>
      <c r="O72" s="4"/>
      <c r="P72" s="4"/>
      <c r="Q72" s="4"/>
      <c r="R72" s="4"/>
      <c r="S72" s="125"/>
      <c r="AA72" s="134" t="s">
        <v>133</v>
      </c>
      <c r="AB72" s="4"/>
      <c r="AC72" s="4"/>
      <c r="AD72" s="4"/>
      <c r="AE72" s="4"/>
      <c r="AF72" s="125"/>
    </row>
    <row r="73" ht="15.75" customHeight="1">
      <c r="N73" s="134" t="s">
        <v>134</v>
      </c>
      <c r="O73" s="4"/>
      <c r="P73" s="4"/>
      <c r="Q73" s="4"/>
      <c r="R73" s="4"/>
      <c r="S73" s="125"/>
      <c r="AA73" s="134" t="s">
        <v>135</v>
      </c>
      <c r="AB73" s="4"/>
      <c r="AC73" s="4"/>
      <c r="AD73" s="4"/>
      <c r="AE73" s="4"/>
      <c r="AF73" s="125"/>
    </row>
    <row r="74" ht="15.75" customHeight="1">
      <c r="N74" s="28" t="s">
        <v>136</v>
      </c>
      <c r="O74" s="29"/>
      <c r="P74" s="29"/>
      <c r="Q74" s="29"/>
      <c r="R74" s="29"/>
      <c r="S74" s="30"/>
      <c r="AA74" s="28" t="s">
        <v>136</v>
      </c>
      <c r="AB74" s="29"/>
      <c r="AC74" s="29"/>
      <c r="AD74" s="29"/>
      <c r="AE74" s="29"/>
      <c r="AF74" s="3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O44:AR44"/>
    <mergeCell ref="O61:S61"/>
    <mergeCell ref="AB61:AF61"/>
    <mergeCell ref="W2:AA2"/>
    <mergeCell ref="AC4:AE4"/>
    <mergeCell ref="AP4:AR4"/>
    <mergeCell ref="AG5:AL5"/>
    <mergeCell ref="AT5:AY5"/>
    <mergeCell ref="AG6:AL6"/>
    <mergeCell ref="AT6:AY6"/>
  </mergeCells>
  <printOptions horizontalCentered="1" verticalCentered="1"/>
  <pageMargins bottom="0.75" footer="0.0" header="0.0" left="0.7" right="0.7" top="0.75"/>
  <pageSetup orientation="landscape"/>
  <rowBreaks count="3" manualBreakCount="3">
    <brk man="1"/>
    <brk id="33" man="1"/>
    <brk id="60" man="1"/>
  </rowBreaks>
  <colBreaks count="4" manualBreakCount="4">
    <brk id="51" man="1"/>
    <brk id="38" man="1"/>
    <brk id="25" man="1"/>
    <brk id="12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10.29"/>
    <col customWidth="1" min="3" max="3" width="11.43"/>
    <col customWidth="1" min="4" max="4" width="7.86"/>
    <col customWidth="1" min="5" max="5" width="10.71"/>
    <col customWidth="1" min="6" max="6" width="7.86"/>
    <col customWidth="1" min="7" max="7" width="8.86"/>
    <col customWidth="1" min="8" max="8" width="7.86"/>
    <col customWidth="1" min="9" max="9" width="8.86"/>
    <col customWidth="1" min="10" max="10" width="7.0"/>
    <col customWidth="1" min="11" max="11" width="6.43"/>
    <col customWidth="1" min="12" max="12" width="9.29"/>
    <col customWidth="1" min="13" max="13" width="9.14"/>
    <col customWidth="1" min="14" max="14" width="48.0"/>
    <col customWidth="1" min="15" max="15" width="9.43"/>
    <col customWidth="1" min="16" max="16" width="11.43"/>
    <col customWidth="1" min="17" max="18" width="8.86"/>
    <col customWidth="1" min="19" max="19" width="8.43"/>
    <col customWidth="1" min="20" max="20" width="8.86"/>
    <col customWidth="1" min="21" max="21" width="8.71"/>
    <col customWidth="1" min="22" max="22" width="8.86"/>
    <col customWidth="1" min="23" max="23" width="8.71"/>
    <col customWidth="1" min="24" max="24" width="8.86"/>
    <col customWidth="1" min="25" max="25" width="8.71"/>
    <col customWidth="1" min="26" max="26" width="8.86"/>
    <col customWidth="1" min="27" max="27" width="48.0"/>
    <col customWidth="1" min="28" max="28" width="9.71"/>
    <col customWidth="1" min="29" max="29" width="11.43"/>
    <col customWidth="1" min="30" max="30" width="8.86"/>
    <col customWidth="1" min="31" max="31" width="10.71"/>
    <col customWidth="1" min="32" max="32" width="8.43"/>
    <col customWidth="1" min="33" max="33" width="8.86"/>
    <col customWidth="1" min="34" max="34" width="7.86"/>
    <col customWidth="1" min="35" max="35" width="8.86"/>
    <col customWidth="1" min="36" max="36" width="7.43"/>
    <col customWidth="1" min="37" max="37" width="8.86"/>
    <col customWidth="1" min="38" max="38" width="8.71"/>
    <col customWidth="1" min="39" max="39" width="8.86"/>
    <col customWidth="1" min="40" max="40" width="48.0"/>
    <col customWidth="1" min="41" max="41" width="9.43"/>
    <col customWidth="1" min="42" max="42" width="11.43"/>
    <col customWidth="1" min="43" max="43" width="8.86"/>
    <col customWidth="1" min="44" max="44" width="9.43"/>
    <col customWidth="1" min="45" max="45" width="7.43"/>
    <col customWidth="1" min="46" max="46" width="8.14"/>
    <col customWidth="1" min="47" max="47" width="8.71"/>
    <col customWidth="1" min="48" max="48" width="8.14"/>
    <col customWidth="1" min="49" max="49" width="10.29"/>
    <col customWidth="1" min="50" max="50" width="8.14"/>
    <col customWidth="1" min="51" max="51" width="7.0"/>
  </cols>
  <sheetData>
    <row r="1" ht="17.25" customHeight="1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143"/>
      <c r="X1" s="144"/>
      <c r="Y1" s="145"/>
      <c r="Z1" s="145"/>
      <c r="AA1" s="146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</row>
    <row r="2" ht="33.75" customHeight="1">
      <c r="A2" s="37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147" t="s">
        <v>137</v>
      </c>
      <c r="X2" s="39"/>
      <c r="Y2" s="39"/>
      <c r="Z2" s="39"/>
      <c r="AA2" s="40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</row>
    <row r="3" ht="33.75" customHeight="1">
      <c r="A3" s="37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41"/>
      <c r="X3" s="41"/>
      <c r="Y3" s="41"/>
      <c r="Z3" s="41"/>
      <c r="AA3" s="4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</row>
    <row r="4" ht="17.25" customHeight="1">
      <c r="A4" s="37"/>
      <c r="B4" s="32"/>
      <c r="C4" s="42" t="s">
        <v>17</v>
      </c>
      <c r="D4" s="2"/>
      <c r="E4" s="3"/>
      <c r="F4" s="31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41"/>
      <c r="X4" s="41"/>
      <c r="Y4" s="41"/>
      <c r="Z4" s="41"/>
      <c r="AA4" s="41"/>
      <c r="AB4" s="32"/>
      <c r="AC4" s="42" t="s">
        <v>17</v>
      </c>
      <c r="AD4" s="2"/>
      <c r="AE4" s="3"/>
      <c r="AF4" s="31"/>
      <c r="AG4" s="32"/>
      <c r="AH4" s="32"/>
      <c r="AI4" s="32"/>
      <c r="AJ4" s="32"/>
      <c r="AK4" s="32"/>
      <c r="AL4" s="32"/>
      <c r="AM4" s="32"/>
      <c r="AN4" s="32"/>
      <c r="AO4" s="32"/>
      <c r="AP4" s="42" t="s">
        <v>17</v>
      </c>
      <c r="AQ4" s="2"/>
      <c r="AR4" s="3"/>
      <c r="AS4" s="31"/>
      <c r="AT4" s="32"/>
      <c r="AU4" s="32"/>
      <c r="AV4" s="32"/>
      <c r="AW4" s="32"/>
      <c r="AX4" s="32"/>
      <c r="AY4" s="32"/>
    </row>
    <row r="5" ht="24.0" customHeight="1">
      <c r="A5" s="37"/>
      <c r="B5" s="32"/>
      <c r="C5" s="43" t="s">
        <v>18</v>
      </c>
      <c r="D5" s="44"/>
      <c r="E5" s="148">
        <v>320.0</v>
      </c>
      <c r="F5" s="32"/>
      <c r="G5" s="46" t="s">
        <v>138</v>
      </c>
      <c r="H5" s="47"/>
      <c r="I5" s="47"/>
      <c r="J5" s="47"/>
      <c r="K5" s="47"/>
      <c r="L5" s="48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1"/>
      <c r="AC5" s="43" t="s">
        <v>18</v>
      </c>
      <c r="AD5" s="44"/>
      <c r="AE5" s="148">
        <v>325.0</v>
      </c>
      <c r="AF5" s="32"/>
      <c r="AG5" s="46" t="s">
        <v>139</v>
      </c>
      <c r="AH5" s="47"/>
      <c r="AI5" s="47"/>
      <c r="AJ5" s="47"/>
      <c r="AK5" s="47"/>
      <c r="AL5" s="48"/>
      <c r="AM5" s="32"/>
      <c r="AN5" s="32"/>
      <c r="AO5" s="32"/>
      <c r="AP5" s="43" t="s">
        <v>18</v>
      </c>
      <c r="AQ5" s="44"/>
      <c r="AR5" s="45">
        <v>340.0</v>
      </c>
      <c r="AS5" s="32"/>
      <c r="AT5" s="46" t="s">
        <v>140</v>
      </c>
      <c r="AU5" s="47"/>
      <c r="AV5" s="47"/>
      <c r="AW5" s="47"/>
      <c r="AX5" s="47"/>
      <c r="AY5" s="48"/>
    </row>
    <row r="6" ht="24.0" customHeight="1">
      <c r="C6" s="49" t="s">
        <v>21</v>
      </c>
      <c r="D6" s="50"/>
      <c r="E6" s="149">
        <v>260.0</v>
      </c>
      <c r="F6" s="52"/>
      <c r="G6" s="53" t="s">
        <v>141</v>
      </c>
      <c r="H6" s="54"/>
      <c r="I6" s="54"/>
      <c r="J6" s="54"/>
      <c r="K6" s="54"/>
      <c r="L6" s="55"/>
      <c r="AC6" s="49" t="s">
        <v>21</v>
      </c>
      <c r="AD6" s="50"/>
      <c r="AE6" s="149">
        <v>240.0</v>
      </c>
      <c r="AF6" s="52"/>
      <c r="AG6" s="53" t="s">
        <v>142</v>
      </c>
      <c r="AH6" s="54"/>
      <c r="AI6" s="54"/>
      <c r="AJ6" s="54"/>
      <c r="AK6" s="54"/>
      <c r="AL6" s="55"/>
      <c r="AP6" s="49" t="s">
        <v>21</v>
      </c>
      <c r="AQ6" s="50"/>
      <c r="AR6" s="51">
        <v>265.0</v>
      </c>
      <c r="AS6" s="52"/>
      <c r="AT6" s="53" t="s">
        <v>143</v>
      </c>
      <c r="AU6" s="54"/>
      <c r="AV6" s="54"/>
      <c r="AW6" s="54"/>
      <c r="AX6" s="54"/>
      <c r="AY6" s="55"/>
    </row>
    <row r="7" ht="23.25" customHeight="1">
      <c r="A7" s="56" t="s">
        <v>144</v>
      </c>
      <c r="B7" s="31"/>
      <c r="C7" s="57" t="s">
        <v>27</v>
      </c>
      <c r="D7" s="58"/>
      <c r="E7" s="150">
        <v>420.0</v>
      </c>
      <c r="F7" s="31"/>
      <c r="N7" s="56" t="s">
        <v>145</v>
      </c>
      <c r="O7" s="31"/>
      <c r="AA7" s="56" t="s">
        <v>146</v>
      </c>
      <c r="AC7" s="57" t="s">
        <v>27</v>
      </c>
      <c r="AD7" s="58"/>
      <c r="AE7" s="150">
        <v>420.0</v>
      </c>
      <c r="AF7" s="31"/>
      <c r="AN7" s="56" t="s">
        <v>147</v>
      </c>
      <c r="AO7" s="31"/>
      <c r="AP7" s="57" t="s">
        <v>27</v>
      </c>
      <c r="AQ7" s="58"/>
      <c r="AR7" s="60">
        <v>430.0</v>
      </c>
      <c r="AS7" s="31"/>
    </row>
    <row r="9">
      <c r="A9" s="61" t="s">
        <v>148</v>
      </c>
      <c r="C9" s="64" t="s">
        <v>30</v>
      </c>
      <c r="D9" s="65"/>
      <c r="E9" s="64" t="s">
        <v>31</v>
      </c>
      <c r="F9" s="65"/>
      <c r="G9" s="64" t="s">
        <v>32</v>
      </c>
      <c r="H9" s="65"/>
      <c r="I9" s="64" t="s">
        <v>33</v>
      </c>
      <c r="J9" s="65"/>
      <c r="K9" s="64" t="s">
        <v>34</v>
      </c>
      <c r="L9" s="63"/>
      <c r="N9" s="61" t="s">
        <v>149</v>
      </c>
      <c r="P9" s="64" t="s">
        <v>30</v>
      </c>
      <c r="Q9" s="65"/>
      <c r="R9" s="64" t="s">
        <v>31</v>
      </c>
      <c r="S9" s="65"/>
      <c r="T9" s="64" t="s">
        <v>32</v>
      </c>
      <c r="U9" s="65"/>
      <c r="V9" s="64" t="s">
        <v>33</v>
      </c>
      <c r="W9" s="65"/>
      <c r="X9" s="64" t="s">
        <v>34</v>
      </c>
      <c r="Y9" s="63"/>
      <c r="AA9" s="61" t="s">
        <v>150</v>
      </c>
      <c r="AC9" s="64" t="s">
        <v>30</v>
      </c>
      <c r="AD9" s="65"/>
      <c r="AE9" s="64" t="s">
        <v>31</v>
      </c>
      <c r="AF9" s="65"/>
      <c r="AG9" s="64" t="s">
        <v>32</v>
      </c>
      <c r="AH9" s="65"/>
      <c r="AI9" s="64" t="s">
        <v>33</v>
      </c>
      <c r="AJ9" s="65"/>
      <c r="AK9" s="64" t="s">
        <v>34</v>
      </c>
      <c r="AL9" s="63"/>
      <c r="AN9" s="61" t="s">
        <v>151</v>
      </c>
      <c r="AP9" s="64" t="s">
        <v>30</v>
      </c>
      <c r="AQ9" s="65"/>
      <c r="AR9" s="64" t="s">
        <v>31</v>
      </c>
      <c r="AS9" s="65"/>
      <c r="AT9" s="64" t="s">
        <v>32</v>
      </c>
      <c r="AU9" s="65"/>
      <c r="AV9" s="64" t="s">
        <v>33</v>
      </c>
      <c r="AW9" s="65"/>
      <c r="AX9" s="64" t="s">
        <v>34</v>
      </c>
      <c r="AY9" s="63"/>
    </row>
    <row r="10">
      <c r="A10" s="151" t="s">
        <v>7</v>
      </c>
      <c r="B10" s="67" t="s">
        <v>38</v>
      </c>
      <c r="C10" s="152">
        <f>IF(('Initial Inputs'!$F$8="kg"),MROUND(($E$5*0.75),2.5),MROUND(($E$5*0.75),5))</f>
        <v>240</v>
      </c>
      <c r="D10" s="69" t="s">
        <v>152</v>
      </c>
      <c r="E10" s="153">
        <f t="shared" ref="E10:F10" si="1">C10</f>
        <v>240</v>
      </c>
      <c r="F10" s="69" t="str">
        <f t="shared" si="1"/>
        <v>x8</v>
      </c>
      <c r="G10" s="70"/>
      <c r="H10" s="71"/>
      <c r="I10" s="70"/>
      <c r="J10" s="71"/>
      <c r="K10" s="70"/>
      <c r="L10" s="71"/>
      <c r="N10" s="151" t="s">
        <v>7</v>
      </c>
      <c r="O10" s="67" t="s">
        <v>38</v>
      </c>
      <c r="P10" s="152">
        <f>IF(('Initial Inputs'!$F$8="kg"),MROUND(($E$5*0.75),2.5),MROUND(($E$5*0.75),5))</f>
        <v>240</v>
      </c>
      <c r="Q10" s="69" t="s">
        <v>152</v>
      </c>
      <c r="R10" s="153">
        <f t="shared" ref="R10:U10" si="2">P10</f>
        <v>240</v>
      </c>
      <c r="S10" s="69" t="str">
        <f t="shared" si="2"/>
        <v>x8</v>
      </c>
      <c r="T10" s="153">
        <f t="shared" si="2"/>
        <v>240</v>
      </c>
      <c r="U10" s="69" t="str">
        <f t="shared" si="2"/>
        <v>x8</v>
      </c>
      <c r="V10" s="70"/>
      <c r="W10" s="71"/>
      <c r="X10" s="70"/>
      <c r="Y10" s="71"/>
      <c r="AA10" s="151" t="s">
        <v>7</v>
      </c>
      <c r="AB10" s="67" t="s">
        <v>38</v>
      </c>
      <c r="AC10" s="153">
        <f>IF(('Initial Inputs'!$F$8="kg"),MROUND(($AE$5*0.75),2.5),MROUND(($AE$5*0.75),5))</f>
        <v>245</v>
      </c>
      <c r="AD10" s="69" t="s">
        <v>152</v>
      </c>
      <c r="AE10" s="153">
        <f t="shared" ref="AE10:AJ10" si="3">AC10</f>
        <v>245</v>
      </c>
      <c r="AF10" s="69" t="str">
        <f t="shared" si="3"/>
        <v>x8</v>
      </c>
      <c r="AG10" s="153">
        <f t="shared" si="3"/>
        <v>245</v>
      </c>
      <c r="AH10" s="69" t="str">
        <f t="shared" si="3"/>
        <v>x8</v>
      </c>
      <c r="AI10" s="153">
        <f t="shared" si="3"/>
        <v>245</v>
      </c>
      <c r="AJ10" s="69" t="str">
        <f t="shared" si="3"/>
        <v>x8</v>
      </c>
      <c r="AK10" s="70"/>
      <c r="AL10" s="71"/>
      <c r="AN10" s="151" t="s">
        <v>7</v>
      </c>
      <c r="AO10" s="67" t="s">
        <v>38</v>
      </c>
      <c r="AP10" s="68">
        <f>IF(('Initial Inputs'!$F$8="kg"),MROUND(($AR$5*0.825),2.5),MROUND(($AR$5*0.825),5))</f>
        <v>280</v>
      </c>
      <c r="AQ10" s="69" t="s">
        <v>86</v>
      </c>
      <c r="AR10" s="68">
        <f t="shared" ref="AR10:AY10" si="4">AP10</f>
        <v>280</v>
      </c>
      <c r="AS10" s="69" t="str">
        <f t="shared" si="4"/>
        <v>x3</v>
      </c>
      <c r="AT10" s="68">
        <f t="shared" si="4"/>
        <v>280</v>
      </c>
      <c r="AU10" s="69" t="str">
        <f t="shared" si="4"/>
        <v>x3</v>
      </c>
      <c r="AV10" s="68">
        <f t="shared" si="4"/>
        <v>280</v>
      </c>
      <c r="AW10" s="69" t="str">
        <f t="shared" si="4"/>
        <v>x3</v>
      </c>
      <c r="AX10" s="68">
        <f t="shared" si="4"/>
        <v>280</v>
      </c>
      <c r="AY10" s="69" t="str">
        <f t="shared" si="4"/>
        <v>x3</v>
      </c>
    </row>
    <row r="11">
      <c r="A11" s="154" t="s">
        <v>8</v>
      </c>
      <c r="B11" s="74" t="s">
        <v>38</v>
      </c>
      <c r="C11" s="155">
        <f>IF(('Initial Inputs'!$F$8="kg"),MROUND(($E$6*0.75),2.5),MROUND(($E$6*0.75),5))</f>
        <v>195</v>
      </c>
      <c r="D11" s="76" t="s">
        <v>152</v>
      </c>
      <c r="E11" s="155">
        <f t="shared" ref="E11:F11" si="5">C11</f>
        <v>195</v>
      </c>
      <c r="F11" s="76" t="str">
        <f t="shared" si="5"/>
        <v>x8</v>
      </c>
      <c r="G11" s="78"/>
      <c r="H11" s="79"/>
      <c r="I11" s="78"/>
      <c r="J11" s="79"/>
      <c r="K11" s="78"/>
      <c r="L11" s="79"/>
      <c r="N11" s="154" t="s">
        <v>8</v>
      </c>
      <c r="O11" s="74" t="s">
        <v>38</v>
      </c>
      <c r="P11" s="155">
        <f>IF(('Initial Inputs'!$F$8="kg"),MROUND(($E$6*0.75),2.5),MROUND(($E$6*0.75),5))</f>
        <v>195</v>
      </c>
      <c r="Q11" s="76" t="s">
        <v>152</v>
      </c>
      <c r="R11" s="155">
        <f t="shared" ref="R11:U11" si="6">P11</f>
        <v>195</v>
      </c>
      <c r="S11" s="76" t="str">
        <f t="shared" si="6"/>
        <v>x8</v>
      </c>
      <c r="T11" s="155">
        <f t="shared" si="6"/>
        <v>195</v>
      </c>
      <c r="U11" s="76" t="str">
        <f t="shared" si="6"/>
        <v>x8</v>
      </c>
      <c r="V11" s="78"/>
      <c r="W11" s="79"/>
      <c r="X11" s="78"/>
      <c r="Y11" s="79"/>
      <c r="AA11" s="154" t="s">
        <v>8</v>
      </c>
      <c r="AB11" s="74" t="s">
        <v>38</v>
      </c>
      <c r="AC11" s="156">
        <f>IF(('Initial Inputs'!$F$8="kg"),MROUND(($AE$6*0.75),2.5),MROUND(($AE$6*0.75),5))</f>
        <v>180</v>
      </c>
      <c r="AD11" s="76" t="s">
        <v>152</v>
      </c>
      <c r="AE11" s="156">
        <f t="shared" ref="AE11:AJ11" si="7">AC11</f>
        <v>180</v>
      </c>
      <c r="AF11" s="76" t="str">
        <f t="shared" si="7"/>
        <v>x8</v>
      </c>
      <c r="AG11" s="156">
        <f t="shared" si="7"/>
        <v>180</v>
      </c>
      <c r="AH11" s="76" t="str">
        <f t="shared" si="7"/>
        <v>x8</v>
      </c>
      <c r="AI11" s="156">
        <f t="shared" si="7"/>
        <v>180</v>
      </c>
      <c r="AJ11" s="76" t="str">
        <f t="shared" si="7"/>
        <v>x8</v>
      </c>
      <c r="AK11" s="78"/>
      <c r="AL11" s="79"/>
      <c r="AN11" s="154" t="s">
        <v>8</v>
      </c>
      <c r="AO11" s="74" t="s">
        <v>38</v>
      </c>
      <c r="AP11" s="75">
        <f>IF(('Initial Inputs'!$F$8="kg"),MROUND(($AR$6*0.825),2.5),MROUND(($AR$6*0.825),5))</f>
        <v>220</v>
      </c>
      <c r="AQ11" s="80" t="s">
        <v>68</v>
      </c>
      <c r="AR11" s="75">
        <f t="shared" ref="AR11:AY11" si="8">AP11</f>
        <v>220</v>
      </c>
      <c r="AS11" s="80" t="str">
        <f t="shared" si="8"/>
        <v>x5</v>
      </c>
      <c r="AT11" s="75">
        <f t="shared" si="8"/>
        <v>220</v>
      </c>
      <c r="AU11" s="80" t="str">
        <f t="shared" si="8"/>
        <v>x5</v>
      </c>
      <c r="AV11" s="75">
        <f t="shared" si="8"/>
        <v>220</v>
      </c>
      <c r="AW11" s="80" t="str">
        <f t="shared" si="8"/>
        <v>x5</v>
      </c>
      <c r="AX11" s="75">
        <f t="shared" si="8"/>
        <v>220</v>
      </c>
      <c r="AY11" s="80" t="str">
        <f t="shared" si="8"/>
        <v>x5</v>
      </c>
    </row>
    <row r="12">
      <c r="A12" s="157" t="s">
        <v>9</v>
      </c>
      <c r="B12" s="82" t="s">
        <v>38</v>
      </c>
      <c r="C12" s="158">
        <f>IF(('Initial Inputs'!$F$8="kg"),MROUND(($E$7*0.75),2.5),MROUND(($E$7*0.75),5))</f>
        <v>315</v>
      </c>
      <c r="D12" s="101" t="s">
        <v>153</v>
      </c>
      <c r="E12" s="158">
        <f t="shared" ref="E12:F12" si="9">C12</f>
        <v>315</v>
      </c>
      <c r="F12" s="84" t="str">
        <f t="shared" si="9"/>
        <v>x6</v>
      </c>
      <c r="G12" s="85"/>
      <c r="H12" s="86"/>
      <c r="I12" s="85"/>
      <c r="J12" s="86"/>
      <c r="K12" s="85"/>
      <c r="L12" s="86"/>
      <c r="N12" s="157" t="s">
        <v>9</v>
      </c>
      <c r="O12" s="82" t="s">
        <v>38</v>
      </c>
      <c r="P12" s="158">
        <f>IF(('Initial Inputs'!$F$8="kg"),MROUND(($E$7*0.75),2.5),MROUND(($E$7*0.75),5))</f>
        <v>315</v>
      </c>
      <c r="Q12" s="84" t="s">
        <v>153</v>
      </c>
      <c r="R12" s="158">
        <f t="shared" ref="R12:U12" si="10">P12</f>
        <v>315</v>
      </c>
      <c r="S12" s="84" t="str">
        <f t="shared" si="10"/>
        <v>x6</v>
      </c>
      <c r="T12" s="158">
        <f t="shared" si="10"/>
        <v>315</v>
      </c>
      <c r="U12" s="84" t="str">
        <f t="shared" si="10"/>
        <v>x6</v>
      </c>
      <c r="V12" s="85"/>
      <c r="W12" s="86"/>
      <c r="X12" s="85"/>
      <c r="Y12" s="86"/>
      <c r="AA12" s="157" t="s">
        <v>9</v>
      </c>
      <c r="AB12" s="82" t="s">
        <v>38</v>
      </c>
      <c r="AC12" s="158">
        <f>IF(('Initial Inputs'!$F$8="kg"),MROUND(($AE$7*0.75),2.5),MROUND(($AE$7*0.75),5))</f>
        <v>315</v>
      </c>
      <c r="AD12" s="84" t="s">
        <v>153</v>
      </c>
      <c r="AE12" s="158">
        <f t="shared" ref="AE12:AJ12" si="11">AC12</f>
        <v>315</v>
      </c>
      <c r="AF12" s="84" t="str">
        <f t="shared" si="11"/>
        <v>x6</v>
      </c>
      <c r="AG12" s="158">
        <f t="shared" si="11"/>
        <v>315</v>
      </c>
      <c r="AH12" s="84" t="str">
        <f t="shared" si="11"/>
        <v>x6</v>
      </c>
      <c r="AI12" s="158">
        <f t="shared" si="11"/>
        <v>315</v>
      </c>
      <c r="AJ12" s="84" t="str">
        <f t="shared" si="11"/>
        <v>x6</v>
      </c>
      <c r="AK12" s="85"/>
      <c r="AL12" s="86"/>
      <c r="AN12" s="157" t="s">
        <v>9</v>
      </c>
      <c r="AO12" s="82" t="s">
        <v>38</v>
      </c>
      <c r="AP12" s="83">
        <f>IF(('Initial Inputs'!$F$8="kg"),MROUND(($AR$7*0.775),2.5),MROUND(($AR$7*0.775),5))</f>
        <v>335</v>
      </c>
      <c r="AQ12" s="84" t="s">
        <v>86</v>
      </c>
      <c r="AR12" s="83">
        <f t="shared" ref="AR12:AU12" si="12">AP12</f>
        <v>335</v>
      </c>
      <c r="AS12" s="84" t="str">
        <f t="shared" si="12"/>
        <v>x3</v>
      </c>
      <c r="AT12" s="83">
        <f t="shared" si="12"/>
        <v>335</v>
      </c>
      <c r="AU12" s="84" t="str">
        <f t="shared" si="12"/>
        <v>x3</v>
      </c>
      <c r="AV12" s="85"/>
      <c r="AW12" s="86"/>
      <c r="AX12" s="85"/>
      <c r="AY12" s="86"/>
    </row>
    <row r="13">
      <c r="T13" s="159"/>
      <c r="AI13" s="159"/>
    </row>
    <row r="14">
      <c r="A14" s="61" t="s">
        <v>154</v>
      </c>
      <c r="C14" s="64" t="s">
        <v>30</v>
      </c>
      <c r="D14" s="65"/>
      <c r="E14" s="64" t="s">
        <v>31</v>
      </c>
      <c r="F14" s="65"/>
      <c r="G14" s="64" t="s">
        <v>32</v>
      </c>
      <c r="H14" s="65"/>
      <c r="I14" s="64" t="s">
        <v>33</v>
      </c>
      <c r="J14" s="65"/>
      <c r="K14" s="64" t="s">
        <v>34</v>
      </c>
      <c r="L14" s="63"/>
      <c r="N14" s="61" t="s">
        <v>155</v>
      </c>
      <c r="P14" s="64" t="s">
        <v>30</v>
      </c>
      <c r="Q14" s="65"/>
      <c r="R14" s="64" t="s">
        <v>31</v>
      </c>
      <c r="S14" s="65"/>
      <c r="T14" s="64" t="s">
        <v>32</v>
      </c>
      <c r="U14" s="65"/>
      <c r="V14" s="64" t="s">
        <v>33</v>
      </c>
      <c r="W14" s="65"/>
      <c r="X14" s="64" t="s">
        <v>34</v>
      </c>
      <c r="Y14" s="63"/>
      <c r="AA14" s="61" t="s">
        <v>156</v>
      </c>
      <c r="AC14" s="64" t="s">
        <v>30</v>
      </c>
      <c r="AD14" s="65"/>
      <c r="AE14" s="64" t="s">
        <v>31</v>
      </c>
      <c r="AF14" s="65"/>
      <c r="AG14" s="64" t="s">
        <v>32</v>
      </c>
      <c r="AH14" s="65"/>
      <c r="AI14" s="64" t="s">
        <v>33</v>
      </c>
      <c r="AJ14" s="65"/>
      <c r="AK14" s="64" t="s">
        <v>34</v>
      </c>
      <c r="AL14" s="63"/>
      <c r="AN14" s="61" t="s">
        <v>157</v>
      </c>
      <c r="AP14" s="64" t="s">
        <v>30</v>
      </c>
      <c r="AQ14" s="65"/>
      <c r="AR14" s="64" t="s">
        <v>31</v>
      </c>
      <c r="AS14" s="65"/>
      <c r="AT14" s="64" t="s">
        <v>32</v>
      </c>
      <c r="AU14" s="65"/>
      <c r="AV14" s="64" t="s">
        <v>33</v>
      </c>
      <c r="AW14" s="65"/>
      <c r="AX14" s="64" t="s">
        <v>34</v>
      </c>
      <c r="AY14" s="63"/>
    </row>
    <row r="15">
      <c r="A15" s="151" t="s">
        <v>46</v>
      </c>
      <c r="B15" s="88" t="s">
        <v>38</v>
      </c>
      <c r="C15" s="89"/>
      <c r="D15" s="72" t="s">
        <v>47</v>
      </c>
      <c r="E15" s="89"/>
      <c r="F15" s="69" t="s">
        <v>47</v>
      </c>
      <c r="G15" s="70"/>
      <c r="H15" s="71"/>
      <c r="I15" s="70"/>
      <c r="J15" s="71"/>
      <c r="K15" s="70"/>
      <c r="L15" s="71"/>
      <c r="N15" s="151" t="s">
        <v>46</v>
      </c>
      <c r="O15" s="88" t="s">
        <v>38</v>
      </c>
      <c r="P15" s="89"/>
      <c r="Q15" s="72" t="s">
        <v>47</v>
      </c>
      <c r="R15" s="89"/>
      <c r="S15" s="69" t="s">
        <v>47</v>
      </c>
      <c r="T15" s="70"/>
      <c r="U15" s="71"/>
      <c r="V15" s="70"/>
      <c r="W15" s="71"/>
      <c r="X15" s="70"/>
      <c r="Y15" s="71"/>
      <c r="AA15" s="151" t="s">
        <v>46</v>
      </c>
      <c r="AB15" s="88" t="s">
        <v>38</v>
      </c>
      <c r="AC15" s="89"/>
      <c r="AD15" s="72" t="s">
        <v>47</v>
      </c>
      <c r="AE15" s="89"/>
      <c r="AF15" s="69" t="s">
        <v>47</v>
      </c>
      <c r="AG15" s="70"/>
      <c r="AH15" s="71"/>
      <c r="AI15" s="70"/>
      <c r="AJ15" s="71"/>
      <c r="AK15" s="70"/>
      <c r="AL15" s="71"/>
      <c r="AN15" s="151" t="s">
        <v>48</v>
      </c>
      <c r="AO15" s="88" t="s">
        <v>38</v>
      </c>
      <c r="AP15" s="89"/>
      <c r="AQ15" s="72" t="s">
        <v>49</v>
      </c>
      <c r="AR15" s="89"/>
      <c r="AS15" s="69" t="s">
        <v>49</v>
      </c>
      <c r="AT15" s="70"/>
      <c r="AU15" s="71"/>
      <c r="AV15" s="70"/>
      <c r="AW15" s="71"/>
      <c r="AX15" s="70"/>
      <c r="AY15" s="71"/>
    </row>
    <row r="16">
      <c r="A16" s="154" t="s">
        <v>50</v>
      </c>
      <c r="B16" s="90" t="s">
        <v>38</v>
      </c>
      <c r="C16" s="91"/>
      <c r="D16" s="76" t="s">
        <v>47</v>
      </c>
      <c r="E16" s="92"/>
      <c r="F16" s="93" t="s">
        <v>47</v>
      </c>
      <c r="G16" s="94"/>
      <c r="H16" s="80" t="s">
        <v>47</v>
      </c>
      <c r="I16" s="78"/>
      <c r="J16" s="79"/>
      <c r="K16" s="78"/>
      <c r="L16" s="79"/>
      <c r="M16" s="95"/>
      <c r="N16" s="160" t="s">
        <v>50</v>
      </c>
      <c r="O16" s="90" t="s">
        <v>38</v>
      </c>
      <c r="P16" s="91"/>
      <c r="Q16" s="76" t="s">
        <v>47</v>
      </c>
      <c r="R16" s="92"/>
      <c r="S16" s="93" t="s">
        <v>47</v>
      </c>
      <c r="T16" s="94"/>
      <c r="U16" s="80" t="s">
        <v>47</v>
      </c>
      <c r="V16" s="78"/>
      <c r="W16" s="79"/>
      <c r="X16" s="78"/>
      <c r="Y16" s="79"/>
      <c r="Z16" s="95"/>
      <c r="AA16" s="160" t="s">
        <v>50</v>
      </c>
      <c r="AB16" s="90" t="s">
        <v>38</v>
      </c>
      <c r="AC16" s="91"/>
      <c r="AD16" s="76" t="s">
        <v>47</v>
      </c>
      <c r="AE16" s="92"/>
      <c r="AF16" s="93" t="s">
        <v>47</v>
      </c>
      <c r="AG16" s="94"/>
      <c r="AH16" s="80" t="s">
        <v>47</v>
      </c>
      <c r="AI16" s="78"/>
      <c r="AJ16" s="79"/>
      <c r="AK16" s="78"/>
      <c r="AL16" s="79"/>
      <c r="AN16" s="161" t="s">
        <v>51</v>
      </c>
      <c r="AO16" s="90" t="s">
        <v>38</v>
      </c>
      <c r="AP16" s="91"/>
      <c r="AQ16" s="76" t="s">
        <v>49</v>
      </c>
      <c r="AR16" s="92"/>
      <c r="AS16" s="93" t="s">
        <v>49</v>
      </c>
      <c r="AT16" s="78"/>
      <c r="AU16" s="78"/>
      <c r="AV16" s="78"/>
      <c r="AW16" s="79"/>
      <c r="AX16" s="78"/>
      <c r="AY16" s="79"/>
    </row>
    <row r="17">
      <c r="A17" s="154" t="s">
        <v>52</v>
      </c>
      <c r="B17" s="90" t="s">
        <v>38</v>
      </c>
      <c r="C17" s="92"/>
      <c r="D17" s="80" t="s">
        <v>47</v>
      </c>
      <c r="E17" s="92"/>
      <c r="F17" s="76" t="s">
        <v>47</v>
      </c>
      <c r="G17" s="78"/>
      <c r="H17" s="79"/>
      <c r="I17" s="78"/>
      <c r="J17" s="79"/>
      <c r="K17" s="78"/>
      <c r="L17" s="79"/>
      <c r="M17" s="95"/>
      <c r="N17" s="160" t="s">
        <v>52</v>
      </c>
      <c r="O17" s="90" t="s">
        <v>38</v>
      </c>
      <c r="P17" s="92"/>
      <c r="Q17" s="80" t="s">
        <v>47</v>
      </c>
      <c r="R17" s="92"/>
      <c r="S17" s="76" t="s">
        <v>47</v>
      </c>
      <c r="T17" s="78"/>
      <c r="U17" s="79"/>
      <c r="V17" s="78"/>
      <c r="W17" s="79"/>
      <c r="X17" s="78"/>
      <c r="Y17" s="79"/>
      <c r="Z17" s="95"/>
      <c r="AA17" s="160" t="s">
        <v>52</v>
      </c>
      <c r="AB17" s="90" t="s">
        <v>38</v>
      </c>
      <c r="AC17" s="92"/>
      <c r="AD17" s="80" t="s">
        <v>47</v>
      </c>
      <c r="AE17" s="92"/>
      <c r="AF17" s="76" t="s">
        <v>47</v>
      </c>
      <c r="AG17" s="78"/>
      <c r="AH17" s="79"/>
      <c r="AI17" s="78"/>
      <c r="AJ17" s="79"/>
      <c r="AK17" s="78"/>
      <c r="AL17" s="79"/>
      <c r="AN17" s="154" t="s">
        <v>53</v>
      </c>
      <c r="AO17" s="90" t="s">
        <v>38</v>
      </c>
      <c r="AP17" s="92"/>
      <c r="AQ17" s="80" t="s">
        <v>47</v>
      </c>
      <c r="AR17" s="92"/>
      <c r="AS17" s="76" t="s">
        <v>47</v>
      </c>
      <c r="AT17" s="92"/>
      <c r="AU17" s="76" t="s">
        <v>47</v>
      </c>
      <c r="AV17" s="92"/>
      <c r="AW17" s="76" t="s">
        <v>47</v>
      </c>
      <c r="AX17" s="78"/>
      <c r="AY17" s="79"/>
    </row>
    <row r="18">
      <c r="A18" s="154" t="s">
        <v>54</v>
      </c>
      <c r="B18" s="90" t="s">
        <v>38</v>
      </c>
      <c r="C18" s="92"/>
      <c r="D18" s="90" t="s">
        <v>55</v>
      </c>
      <c r="E18" s="92"/>
      <c r="F18" s="90" t="s">
        <v>55</v>
      </c>
      <c r="G18" s="78"/>
      <c r="H18" s="79"/>
      <c r="I18" s="78"/>
      <c r="J18" s="79"/>
      <c r="K18" s="78"/>
      <c r="L18" s="79"/>
      <c r="M18" s="95"/>
      <c r="N18" s="160" t="s">
        <v>54</v>
      </c>
      <c r="O18" s="90" t="s">
        <v>38</v>
      </c>
      <c r="P18" s="92"/>
      <c r="Q18" s="90" t="s">
        <v>55</v>
      </c>
      <c r="R18" s="92"/>
      <c r="S18" s="90" t="s">
        <v>55</v>
      </c>
      <c r="T18" s="78"/>
      <c r="U18" s="79"/>
      <c r="V18" s="78"/>
      <c r="W18" s="79"/>
      <c r="X18" s="78"/>
      <c r="Y18" s="79"/>
      <c r="Z18" s="95"/>
      <c r="AA18" s="160" t="s">
        <v>54</v>
      </c>
      <c r="AB18" s="90" t="s">
        <v>38</v>
      </c>
      <c r="AC18" s="92"/>
      <c r="AD18" s="90" t="s">
        <v>55</v>
      </c>
      <c r="AE18" s="92"/>
      <c r="AF18" s="90" t="s">
        <v>55</v>
      </c>
      <c r="AG18" s="78"/>
      <c r="AH18" s="79"/>
      <c r="AI18" s="78"/>
      <c r="AJ18" s="79"/>
      <c r="AK18" s="78"/>
      <c r="AL18" s="79"/>
      <c r="AN18" s="154" t="s">
        <v>46</v>
      </c>
      <c r="AO18" s="90" t="s">
        <v>38</v>
      </c>
      <c r="AP18" s="92"/>
      <c r="AQ18" s="90" t="s">
        <v>47</v>
      </c>
      <c r="AR18" s="92"/>
      <c r="AS18" s="90" t="s">
        <v>47</v>
      </c>
      <c r="AT18" s="78"/>
      <c r="AU18" s="79"/>
      <c r="AV18" s="78"/>
      <c r="AW18" s="79"/>
      <c r="AX18" s="78"/>
      <c r="AY18" s="79"/>
    </row>
    <row r="19">
      <c r="A19" s="154" t="s">
        <v>56</v>
      </c>
      <c r="B19" s="90" t="s">
        <v>38</v>
      </c>
      <c r="C19" s="92"/>
      <c r="D19" s="90" t="s">
        <v>47</v>
      </c>
      <c r="E19" s="92"/>
      <c r="F19" s="90" t="s">
        <v>47</v>
      </c>
      <c r="G19" s="94"/>
      <c r="H19" s="90" t="s">
        <v>47</v>
      </c>
      <c r="I19" s="94"/>
      <c r="J19" s="90" t="s">
        <v>47</v>
      </c>
      <c r="K19" s="94"/>
      <c r="L19" s="90" t="s">
        <v>47</v>
      </c>
      <c r="M19" s="95"/>
      <c r="N19" s="160" t="s">
        <v>56</v>
      </c>
      <c r="O19" s="90" t="s">
        <v>38</v>
      </c>
      <c r="P19" s="92"/>
      <c r="Q19" s="90" t="s">
        <v>47</v>
      </c>
      <c r="R19" s="92"/>
      <c r="S19" s="90" t="s">
        <v>47</v>
      </c>
      <c r="T19" s="94"/>
      <c r="U19" s="90" t="s">
        <v>47</v>
      </c>
      <c r="V19" s="94"/>
      <c r="W19" s="90" t="s">
        <v>47</v>
      </c>
      <c r="X19" s="94"/>
      <c r="Y19" s="90" t="s">
        <v>47</v>
      </c>
      <c r="Z19" s="95"/>
      <c r="AA19" s="160" t="s">
        <v>56</v>
      </c>
      <c r="AB19" s="90" t="s">
        <v>38</v>
      </c>
      <c r="AC19" s="92"/>
      <c r="AD19" s="90" t="s">
        <v>47</v>
      </c>
      <c r="AE19" s="92"/>
      <c r="AF19" s="90" t="s">
        <v>47</v>
      </c>
      <c r="AG19" s="94"/>
      <c r="AH19" s="90" t="s">
        <v>47</v>
      </c>
      <c r="AI19" s="94"/>
      <c r="AJ19" s="90" t="s">
        <v>47</v>
      </c>
      <c r="AK19" s="94"/>
      <c r="AL19" s="90" t="s">
        <v>47</v>
      </c>
      <c r="AN19" s="154" t="s">
        <v>50</v>
      </c>
      <c r="AO19" s="90" t="s">
        <v>38</v>
      </c>
      <c r="AP19" s="92"/>
      <c r="AQ19" s="90" t="s">
        <v>47</v>
      </c>
      <c r="AR19" s="92"/>
      <c r="AS19" s="90" t="s">
        <v>47</v>
      </c>
      <c r="AT19" s="94"/>
      <c r="AU19" s="90" t="s">
        <v>47</v>
      </c>
      <c r="AV19" s="78"/>
      <c r="AW19" s="79"/>
      <c r="AX19" s="78"/>
      <c r="AY19" s="79"/>
    </row>
    <row r="20">
      <c r="A20" s="154" t="s">
        <v>57</v>
      </c>
      <c r="B20" s="90" t="s">
        <v>38</v>
      </c>
      <c r="C20" s="92"/>
      <c r="D20" s="90" t="s">
        <v>58</v>
      </c>
      <c r="E20" s="92"/>
      <c r="F20" s="76" t="s">
        <v>59</v>
      </c>
      <c r="G20" s="94"/>
      <c r="H20" s="98" t="s">
        <v>59</v>
      </c>
      <c r="I20" s="94"/>
      <c r="J20" s="98" t="s">
        <v>59</v>
      </c>
      <c r="K20" s="78"/>
      <c r="L20" s="79"/>
      <c r="M20" s="95"/>
      <c r="N20" s="160" t="s">
        <v>57</v>
      </c>
      <c r="O20" s="90" t="s">
        <v>38</v>
      </c>
      <c r="P20" s="92"/>
      <c r="Q20" s="90" t="s">
        <v>58</v>
      </c>
      <c r="R20" s="92"/>
      <c r="S20" s="76" t="s">
        <v>59</v>
      </c>
      <c r="T20" s="94"/>
      <c r="U20" s="98" t="s">
        <v>59</v>
      </c>
      <c r="V20" s="94"/>
      <c r="W20" s="98" t="s">
        <v>59</v>
      </c>
      <c r="X20" s="78"/>
      <c r="Y20" s="79"/>
      <c r="Z20" s="95"/>
      <c r="AA20" s="160" t="s">
        <v>57</v>
      </c>
      <c r="AB20" s="90" t="s">
        <v>38</v>
      </c>
      <c r="AC20" s="92"/>
      <c r="AD20" s="90" t="s">
        <v>58</v>
      </c>
      <c r="AE20" s="92"/>
      <c r="AF20" s="76" t="s">
        <v>59</v>
      </c>
      <c r="AG20" s="94"/>
      <c r="AH20" s="98" t="s">
        <v>59</v>
      </c>
      <c r="AI20" s="94"/>
      <c r="AJ20" s="98" t="s">
        <v>59</v>
      </c>
      <c r="AK20" s="78"/>
      <c r="AL20" s="79"/>
      <c r="AN20" s="154" t="s">
        <v>52</v>
      </c>
      <c r="AO20" s="90" t="s">
        <v>38</v>
      </c>
      <c r="AP20" s="92"/>
      <c r="AQ20" s="90" t="s">
        <v>47</v>
      </c>
      <c r="AR20" s="92"/>
      <c r="AS20" s="76" t="s">
        <v>47</v>
      </c>
      <c r="AT20" s="78"/>
      <c r="AU20" s="79"/>
      <c r="AV20" s="78"/>
      <c r="AW20" s="79"/>
      <c r="AX20" s="78"/>
      <c r="AY20" s="79"/>
    </row>
    <row r="21" ht="15.75" customHeight="1">
      <c r="A21" s="162" t="s">
        <v>60</v>
      </c>
      <c r="B21" s="90" t="s">
        <v>38</v>
      </c>
      <c r="C21" s="92"/>
      <c r="D21" s="90" t="s">
        <v>47</v>
      </c>
      <c r="E21" s="92"/>
      <c r="F21" s="90" t="s">
        <v>47</v>
      </c>
      <c r="G21" s="94"/>
      <c r="H21" s="90" t="s">
        <v>47</v>
      </c>
      <c r="I21" s="94"/>
      <c r="J21" s="90" t="s">
        <v>47</v>
      </c>
      <c r="K21" s="94"/>
      <c r="L21" s="90" t="s">
        <v>47</v>
      </c>
      <c r="M21" s="95"/>
      <c r="N21" s="163" t="s">
        <v>60</v>
      </c>
      <c r="O21" s="90" t="s">
        <v>38</v>
      </c>
      <c r="P21" s="92"/>
      <c r="Q21" s="90" t="s">
        <v>47</v>
      </c>
      <c r="R21" s="92"/>
      <c r="S21" s="90" t="s">
        <v>47</v>
      </c>
      <c r="T21" s="94"/>
      <c r="U21" s="90" t="s">
        <v>47</v>
      </c>
      <c r="V21" s="94"/>
      <c r="W21" s="90" t="s">
        <v>47</v>
      </c>
      <c r="X21" s="94"/>
      <c r="Y21" s="90" t="s">
        <v>47</v>
      </c>
      <c r="Z21" s="95"/>
      <c r="AA21" s="163" t="s">
        <v>60</v>
      </c>
      <c r="AB21" s="90" t="s">
        <v>38</v>
      </c>
      <c r="AC21" s="92"/>
      <c r="AD21" s="90" t="s">
        <v>47</v>
      </c>
      <c r="AE21" s="92"/>
      <c r="AF21" s="90" t="s">
        <v>47</v>
      </c>
      <c r="AG21" s="94"/>
      <c r="AH21" s="90" t="s">
        <v>47</v>
      </c>
      <c r="AI21" s="94"/>
      <c r="AJ21" s="90" t="s">
        <v>47</v>
      </c>
      <c r="AK21" s="94"/>
      <c r="AL21" s="90" t="s">
        <v>47</v>
      </c>
      <c r="AN21" s="162" t="s">
        <v>54</v>
      </c>
      <c r="AO21" s="90" t="s">
        <v>38</v>
      </c>
      <c r="AP21" s="92"/>
      <c r="AQ21" s="90" t="s">
        <v>55</v>
      </c>
      <c r="AR21" s="92"/>
      <c r="AS21" s="90" t="s">
        <v>55</v>
      </c>
      <c r="AT21" s="78"/>
      <c r="AU21" s="79"/>
      <c r="AV21" s="78"/>
      <c r="AW21" s="79"/>
      <c r="AX21" s="78"/>
      <c r="AY21" s="79"/>
    </row>
    <row r="22" ht="15.75" customHeight="1">
      <c r="A22" s="157" t="s">
        <v>61</v>
      </c>
      <c r="B22" s="101" t="s">
        <v>38</v>
      </c>
      <c r="C22" s="102"/>
      <c r="D22" s="101" t="s">
        <v>58</v>
      </c>
      <c r="E22" s="102"/>
      <c r="F22" s="84" t="s">
        <v>59</v>
      </c>
      <c r="G22" s="103"/>
      <c r="H22" s="84" t="s">
        <v>59</v>
      </c>
      <c r="I22" s="103"/>
      <c r="J22" s="84" t="s">
        <v>59</v>
      </c>
      <c r="K22" s="85"/>
      <c r="L22" s="86"/>
      <c r="M22" s="95"/>
      <c r="N22" s="164" t="s">
        <v>61</v>
      </c>
      <c r="O22" s="101" t="s">
        <v>38</v>
      </c>
      <c r="P22" s="102"/>
      <c r="Q22" s="101" t="s">
        <v>58</v>
      </c>
      <c r="R22" s="102"/>
      <c r="S22" s="84" t="s">
        <v>59</v>
      </c>
      <c r="T22" s="103"/>
      <c r="U22" s="84" t="s">
        <v>59</v>
      </c>
      <c r="V22" s="103"/>
      <c r="W22" s="84" t="s">
        <v>59</v>
      </c>
      <c r="X22" s="85"/>
      <c r="Y22" s="86"/>
      <c r="Z22" s="95"/>
      <c r="AA22" s="164" t="s">
        <v>61</v>
      </c>
      <c r="AB22" s="101" t="s">
        <v>38</v>
      </c>
      <c r="AC22" s="102"/>
      <c r="AD22" s="101" t="s">
        <v>58</v>
      </c>
      <c r="AE22" s="102"/>
      <c r="AF22" s="84" t="s">
        <v>59</v>
      </c>
      <c r="AG22" s="103"/>
      <c r="AH22" s="84" t="s">
        <v>59</v>
      </c>
      <c r="AI22" s="103"/>
      <c r="AJ22" s="84" t="s">
        <v>59</v>
      </c>
      <c r="AK22" s="85"/>
      <c r="AL22" s="86"/>
      <c r="AN22" s="162" t="s">
        <v>158</v>
      </c>
      <c r="AO22" s="74" t="s">
        <v>38</v>
      </c>
      <c r="AP22" s="92"/>
      <c r="AQ22" s="90" t="s">
        <v>47</v>
      </c>
      <c r="AR22" s="92"/>
      <c r="AS22" s="90" t="s">
        <v>47</v>
      </c>
      <c r="AT22" s="94"/>
      <c r="AU22" s="90" t="s">
        <v>47</v>
      </c>
      <c r="AV22" s="94"/>
      <c r="AW22" s="90" t="s">
        <v>47</v>
      </c>
      <c r="AX22" s="94"/>
      <c r="AY22" s="90" t="s">
        <v>47</v>
      </c>
    </row>
    <row r="23" ht="15.75" customHeight="1">
      <c r="AN23" s="154" t="s">
        <v>57</v>
      </c>
      <c r="AO23" s="76" t="s">
        <v>38</v>
      </c>
      <c r="AP23" s="92"/>
      <c r="AQ23" s="90" t="s">
        <v>58</v>
      </c>
      <c r="AR23" s="92"/>
      <c r="AS23" s="76" t="s">
        <v>59</v>
      </c>
      <c r="AT23" s="94"/>
      <c r="AU23" s="98" t="s">
        <v>59</v>
      </c>
      <c r="AV23" s="94"/>
      <c r="AW23" s="98" t="s">
        <v>59</v>
      </c>
      <c r="AX23" s="78"/>
      <c r="AY23" s="79"/>
    </row>
    <row r="24" ht="15.75" customHeight="1">
      <c r="A24" s="61" t="s">
        <v>159</v>
      </c>
      <c r="C24" s="64" t="s">
        <v>30</v>
      </c>
      <c r="D24" s="65"/>
      <c r="E24" s="64" t="s">
        <v>31</v>
      </c>
      <c r="F24" s="65"/>
      <c r="G24" s="64" t="s">
        <v>32</v>
      </c>
      <c r="H24" s="65"/>
      <c r="I24" s="64" t="s">
        <v>33</v>
      </c>
      <c r="J24" s="65"/>
      <c r="K24" s="64" t="s">
        <v>34</v>
      </c>
      <c r="L24" s="63"/>
      <c r="N24" s="61" t="s">
        <v>160</v>
      </c>
      <c r="P24" s="64" t="s">
        <v>30</v>
      </c>
      <c r="Q24" s="65"/>
      <c r="R24" s="64" t="s">
        <v>31</v>
      </c>
      <c r="S24" s="65"/>
      <c r="T24" s="64" t="s">
        <v>32</v>
      </c>
      <c r="U24" s="65"/>
      <c r="V24" s="64" t="s">
        <v>33</v>
      </c>
      <c r="W24" s="65"/>
      <c r="X24" s="64" t="s">
        <v>34</v>
      </c>
      <c r="Y24" s="63"/>
      <c r="AA24" s="61" t="s">
        <v>161</v>
      </c>
      <c r="AC24" s="64" t="s">
        <v>30</v>
      </c>
      <c r="AD24" s="65"/>
      <c r="AE24" s="64" t="s">
        <v>31</v>
      </c>
      <c r="AF24" s="65"/>
      <c r="AG24" s="64" t="s">
        <v>32</v>
      </c>
      <c r="AH24" s="65"/>
      <c r="AI24" s="64" t="s">
        <v>33</v>
      </c>
      <c r="AJ24" s="65"/>
      <c r="AK24" s="64" t="s">
        <v>34</v>
      </c>
      <c r="AL24" s="63"/>
      <c r="AN24" s="165" t="s">
        <v>60</v>
      </c>
      <c r="AO24" s="106" t="s">
        <v>38</v>
      </c>
      <c r="AP24" s="91"/>
      <c r="AQ24" s="90" t="s">
        <v>47</v>
      </c>
      <c r="AR24" s="92"/>
      <c r="AS24" s="90" t="s">
        <v>47</v>
      </c>
      <c r="AT24" s="94"/>
      <c r="AU24" s="90" t="s">
        <v>47</v>
      </c>
      <c r="AV24" s="94"/>
      <c r="AW24" s="90" t="s">
        <v>47</v>
      </c>
      <c r="AX24" s="94"/>
      <c r="AY24" s="90" t="s">
        <v>47</v>
      </c>
    </row>
    <row r="25" ht="15.75" customHeight="1">
      <c r="A25" s="151" t="s">
        <v>7</v>
      </c>
      <c r="B25" s="88" t="s">
        <v>38</v>
      </c>
      <c r="C25" s="153">
        <f>IF(('Initial Inputs'!$F$8="kg"),MROUND(($E$5*0.8),2.5),MROUND(($E$5*0.8),5))</f>
        <v>255</v>
      </c>
      <c r="D25" s="69" t="s">
        <v>153</v>
      </c>
      <c r="E25" s="153">
        <f t="shared" ref="E25:H25" si="13">C25</f>
        <v>255</v>
      </c>
      <c r="F25" s="69" t="str">
        <f t="shared" si="13"/>
        <v>x6</v>
      </c>
      <c r="G25" s="153">
        <f t="shared" si="13"/>
        <v>255</v>
      </c>
      <c r="H25" s="69" t="str">
        <f t="shared" si="13"/>
        <v>x6</v>
      </c>
      <c r="I25" s="70"/>
      <c r="J25" s="71"/>
      <c r="K25" s="70"/>
      <c r="L25" s="71"/>
      <c r="N25" s="151" t="s">
        <v>7</v>
      </c>
      <c r="O25" s="88" t="s">
        <v>38</v>
      </c>
      <c r="P25" s="153">
        <f>IF(('Initial Inputs'!$F$8="kg"),MROUND(($E$5*0.8),2.5),MROUND(($E$5*0.8),5))</f>
        <v>255</v>
      </c>
      <c r="Q25" s="69" t="s">
        <v>153</v>
      </c>
      <c r="R25" s="153">
        <f t="shared" ref="R25:W25" si="14">P25</f>
        <v>255</v>
      </c>
      <c r="S25" s="69" t="str">
        <f t="shared" si="14"/>
        <v>x6</v>
      </c>
      <c r="T25" s="153">
        <f t="shared" si="14"/>
        <v>255</v>
      </c>
      <c r="U25" s="69" t="str">
        <f t="shared" si="14"/>
        <v>x6</v>
      </c>
      <c r="V25" s="153">
        <f t="shared" si="14"/>
        <v>255</v>
      </c>
      <c r="W25" s="69" t="str">
        <f t="shared" si="14"/>
        <v>x6</v>
      </c>
      <c r="X25" s="70"/>
      <c r="Y25" s="71"/>
      <c r="AA25" s="151" t="s">
        <v>7</v>
      </c>
      <c r="AB25" s="88" t="s">
        <v>38</v>
      </c>
      <c r="AC25" s="153">
        <f>IF(('Initial Inputs'!$F$8="kg"),MROUND(($AE$5*0.8),2.5),MROUND(($AE$5*0.8),5))</f>
        <v>260</v>
      </c>
      <c r="AD25" s="69" t="s">
        <v>153</v>
      </c>
      <c r="AE25" s="153">
        <f t="shared" ref="AE25:AL25" si="15">AC25</f>
        <v>260</v>
      </c>
      <c r="AF25" s="69" t="str">
        <f t="shared" si="15"/>
        <v>x6</v>
      </c>
      <c r="AG25" s="153">
        <f t="shared" si="15"/>
        <v>260</v>
      </c>
      <c r="AH25" s="69" t="str">
        <f t="shared" si="15"/>
        <v>x6</v>
      </c>
      <c r="AI25" s="153">
        <f t="shared" si="15"/>
        <v>260</v>
      </c>
      <c r="AJ25" s="69" t="str">
        <f t="shared" si="15"/>
        <v>x6</v>
      </c>
      <c r="AK25" s="153">
        <f t="shared" si="15"/>
        <v>260</v>
      </c>
      <c r="AL25" s="69" t="str">
        <f t="shared" si="15"/>
        <v>x6</v>
      </c>
      <c r="AN25" s="157" t="s">
        <v>61</v>
      </c>
      <c r="AO25" s="84" t="s">
        <v>38</v>
      </c>
      <c r="AP25" s="102"/>
      <c r="AQ25" s="101" t="s">
        <v>58</v>
      </c>
      <c r="AR25" s="102"/>
      <c r="AS25" s="84" t="s">
        <v>59</v>
      </c>
      <c r="AT25" s="103"/>
      <c r="AU25" s="84" t="s">
        <v>59</v>
      </c>
      <c r="AV25" s="103"/>
      <c r="AW25" s="84" t="s">
        <v>59</v>
      </c>
      <c r="AX25" s="85"/>
      <c r="AY25" s="86"/>
    </row>
    <row r="26" ht="15.75" customHeight="1">
      <c r="A26" s="154" t="s">
        <v>8</v>
      </c>
      <c r="B26" s="90" t="s">
        <v>38</v>
      </c>
      <c r="C26" s="155">
        <f>IF(('Initial Inputs'!$F$8="kg"),MROUND(($E$6*0.8),2.5),MROUND(($E$6*0.8),5))</f>
        <v>210</v>
      </c>
      <c r="D26" s="76" t="s">
        <v>153</v>
      </c>
      <c r="E26" s="155">
        <f t="shared" ref="E26:H26" si="16">C26</f>
        <v>210</v>
      </c>
      <c r="F26" s="76" t="str">
        <f t="shared" si="16"/>
        <v>x6</v>
      </c>
      <c r="G26" s="155">
        <f t="shared" si="16"/>
        <v>210</v>
      </c>
      <c r="H26" s="76" t="str">
        <f t="shared" si="16"/>
        <v>x6</v>
      </c>
      <c r="I26" s="78"/>
      <c r="J26" s="79"/>
      <c r="K26" s="78"/>
      <c r="L26" s="79"/>
      <c r="M26" s="95"/>
      <c r="N26" s="160" t="s">
        <v>8</v>
      </c>
      <c r="O26" s="90" t="s">
        <v>38</v>
      </c>
      <c r="P26" s="155">
        <f>IF(('Initial Inputs'!$F$8="kg"),MROUND(($E$6*0.8),2.5),MROUND(($E$6*0.8),5))</f>
        <v>210</v>
      </c>
      <c r="Q26" s="76" t="s">
        <v>153</v>
      </c>
      <c r="R26" s="155">
        <f t="shared" ref="R26:W26" si="17">P26</f>
        <v>210</v>
      </c>
      <c r="S26" s="76" t="str">
        <f t="shared" si="17"/>
        <v>x6</v>
      </c>
      <c r="T26" s="155">
        <f t="shared" si="17"/>
        <v>210</v>
      </c>
      <c r="U26" s="76" t="str">
        <f t="shared" si="17"/>
        <v>x6</v>
      </c>
      <c r="V26" s="155">
        <f t="shared" si="17"/>
        <v>210</v>
      </c>
      <c r="W26" s="76" t="str">
        <f t="shared" si="17"/>
        <v>x6</v>
      </c>
      <c r="X26" s="78"/>
      <c r="Y26" s="79"/>
      <c r="Z26" s="95"/>
      <c r="AA26" s="160" t="s">
        <v>8</v>
      </c>
      <c r="AB26" s="90" t="s">
        <v>38</v>
      </c>
      <c r="AC26" s="156">
        <f>IF(('Initial Inputs'!$F$8="kg"),MROUND(($AE$6*0.8),2.5),MROUND(($AE$6*0.8),5))</f>
        <v>190</v>
      </c>
      <c r="AD26" s="76" t="s">
        <v>153</v>
      </c>
      <c r="AE26" s="156">
        <f t="shared" ref="AE26:AL26" si="18">AC26</f>
        <v>190</v>
      </c>
      <c r="AF26" s="76" t="str">
        <f t="shared" si="18"/>
        <v>x6</v>
      </c>
      <c r="AG26" s="156">
        <f t="shared" si="18"/>
        <v>190</v>
      </c>
      <c r="AH26" s="76" t="str">
        <f t="shared" si="18"/>
        <v>x6</v>
      </c>
      <c r="AI26" s="156">
        <f t="shared" si="18"/>
        <v>190</v>
      </c>
      <c r="AJ26" s="76" t="str">
        <f t="shared" si="18"/>
        <v>x6</v>
      </c>
      <c r="AK26" s="156">
        <f t="shared" si="18"/>
        <v>190</v>
      </c>
      <c r="AL26" s="76" t="str">
        <f t="shared" si="18"/>
        <v>x6</v>
      </c>
      <c r="AM26" s="31"/>
      <c r="AN26" s="31"/>
    </row>
    <row r="27" ht="15.75" customHeight="1">
      <c r="A27" s="154" t="s">
        <v>48</v>
      </c>
      <c r="B27" s="90" t="s">
        <v>38</v>
      </c>
      <c r="C27" s="92"/>
      <c r="D27" s="90" t="s">
        <v>49</v>
      </c>
      <c r="E27" s="92"/>
      <c r="F27" s="90" t="s">
        <v>49</v>
      </c>
      <c r="G27" s="78"/>
      <c r="H27" s="79"/>
      <c r="I27" s="78"/>
      <c r="J27" s="79"/>
      <c r="K27" s="107"/>
      <c r="L27" s="108"/>
      <c r="M27" s="95"/>
      <c r="N27" s="160" t="s">
        <v>48</v>
      </c>
      <c r="O27" s="90" t="s">
        <v>38</v>
      </c>
      <c r="P27" s="92"/>
      <c r="Q27" s="90" t="s">
        <v>49</v>
      </c>
      <c r="R27" s="92"/>
      <c r="S27" s="90" t="s">
        <v>49</v>
      </c>
      <c r="T27" s="78"/>
      <c r="U27" s="79"/>
      <c r="V27" s="78"/>
      <c r="W27" s="79"/>
      <c r="X27" s="107"/>
      <c r="Y27" s="108"/>
      <c r="Z27" s="95"/>
      <c r="AA27" s="160" t="s">
        <v>48</v>
      </c>
      <c r="AB27" s="90" t="s">
        <v>38</v>
      </c>
      <c r="AC27" s="92"/>
      <c r="AD27" s="90" t="s">
        <v>49</v>
      </c>
      <c r="AE27" s="92"/>
      <c r="AF27" s="90" t="s">
        <v>49</v>
      </c>
      <c r="AG27" s="78"/>
      <c r="AH27" s="79"/>
      <c r="AI27" s="78"/>
      <c r="AJ27" s="79"/>
      <c r="AK27" s="107"/>
      <c r="AL27" s="108"/>
      <c r="AM27" s="31"/>
      <c r="AN27" s="61" t="s">
        <v>162</v>
      </c>
      <c r="AP27" s="64" t="s">
        <v>30</v>
      </c>
      <c r="AQ27" s="65"/>
      <c r="AR27" s="64" t="s">
        <v>31</v>
      </c>
      <c r="AS27" s="65"/>
      <c r="AT27" s="64" t="s">
        <v>32</v>
      </c>
      <c r="AU27" s="65"/>
      <c r="AV27" s="64" t="s">
        <v>33</v>
      </c>
      <c r="AW27" s="65"/>
      <c r="AX27" s="64" t="s">
        <v>34</v>
      </c>
      <c r="AY27" s="63"/>
    </row>
    <row r="28" ht="15.75" customHeight="1">
      <c r="A28" s="154" t="s">
        <v>67</v>
      </c>
      <c r="B28" s="90" t="s">
        <v>38</v>
      </c>
      <c r="C28" s="92"/>
      <c r="D28" s="90" t="s">
        <v>49</v>
      </c>
      <c r="E28" s="92"/>
      <c r="F28" s="90" t="s">
        <v>49</v>
      </c>
      <c r="G28" s="78"/>
      <c r="H28" s="79"/>
      <c r="I28" s="78"/>
      <c r="J28" s="79"/>
      <c r="K28" s="78"/>
      <c r="L28" s="108"/>
      <c r="M28" s="95"/>
      <c r="N28" s="160" t="s">
        <v>67</v>
      </c>
      <c r="O28" s="90" t="s">
        <v>38</v>
      </c>
      <c r="P28" s="92"/>
      <c r="Q28" s="90" t="s">
        <v>49</v>
      </c>
      <c r="R28" s="92"/>
      <c r="S28" s="90" t="s">
        <v>49</v>
      </c>
      <c r="T28" s="78"/>
      <c r="U28" s="79"/>
      <c r="V28" s="78"/>
      <c r="W28" s="79"/>
      <c r="X28" s="78"/>
      <c r="Y28" s="108"/>
      <c r="Z28" s="95"/>
      <c r="AA28" s="160" t="s">
        <v>67</v>
      </c>
      <c r="AB28" s="90" t="s">
        <v>38</v>
      </c>
      <c r="AC28" s="92"/>
      <c r="AD28" s="90" t="s">
        <v>49</v>
      </c>
      <c r="AE28" s="92"/>
      <c r="AF28" s="90" t="s">
        <v>49</v>
      </c>
      <c r="AG28" s="78"/>
      <c r="AH28" s="79"/>
      <c r="AI28" s="78"/>
      <c r="AJ28" s="79"/>
      <c r="AK28" s="78"/>
      <c r="AL28" s="108"/>
      <c r="AM28" s="95"/>
      <c r="AN28" s="151" t="s">
        <v>7</v>
      </c>
      <c r="AO28" s="88" t="s">
        <v>38</v>
      </c>
      <c r="AP28" s="68">
        <f>IF(('Initial Inputs'!$F$8="kg"),MROUND(($AR$5*0.7),2.5),MROUND(($AR$5*0.7),5))</f>
        <v>240</v>
      </c>
      <c r="AQ28" s="69" t="s">
        <v>40</v>
      </c>
      <c r="AR28" s="68">
        <f t="shared" ref="AR28:AW28" si="19">AP28</f>
        <v>240</v>
      </c>
      <c r="AS28" s="69" t="str">
        <f t="shared" si="19"/>
        <v>x4</v>
      </c>
      <c r="AT28" s="68">
        <f t="shared" si="19"/>
        <v>240</v>
      </c>
      <c r="AU28" s="69" t="str">
        <f t="shared" si="19"/>
        <v>x4</v>
      </c>
      <c r="AV28" s="68">
        <f t="shared" si="19"/>
        <v>240</v>
      </c>
      <c r="AW28" s="69" t="str">
        <f t="shared" si="19"/>
        <v>x4</v>
      </c>
      <c r="AX28" s="70"/>
      <c r="AY28" s="71"/>
    </row>
    <row r="29" ht="15.75" customHeight="1">
      <c r="A29" s="154" t="s">
        <v>69</v>
      </c>
      <c r="B29" s="90" t="s">
        <v>38</v>
      </c>
      <c r="C29" s="92"/>
      <c r="D29" s="90" t="s">
        <v>70</v>
      </c>
      <c r="E29" s="92"/>
      <c r="F29" s="90" t="s">
        <v>70</v>
      </c>
      <c r="G29" s="94"/>
      <c r="H29" s="90" t="s">
        <v>70</v>
      </c>
      <c r="I29" s="78"/>
      <c r="J29" s="79"/>
      <c r="K29" s="109"/>
      <c r="L29" s="108"/>
      <c r="M29" s="95"/>
      <c r="N29" s="160" t="s">
        <v>69</v>
      </c>
      <c r="O29" s="90" t="s">
        <v>38</v>
      </c>
      <c r="P29" s="92"/>
      <c r="Q29" s="90" t="s">
        <v>70</v>
      </c>
      <c r="R29" s="92"/>
      <c r="S29" s="90" t="s">
        <v>70</v>
      </c>
      <c r="T29" s="94"/>
      <c r="U29" s="90" t="s">
        <v>70</v>
      </c>
      <c r="V29" s="78"/>
      <c r="W29" s="79"/>
      <c r="X29" s="109"/>
      <c r="Y29" s="108"/>
      <c r="Z29" s="95"/>
      <c r="AA29" s="160" t="s">
        <v>69</v>
      </c>
      <c r="AB29" s="90" t="s">
        <v>38</v>
      </c>
      <c r="AC29" s="92"/>
      <c r="AD29" s="90" t="s">
        <v>70</v>
      </c>
      <c r="AE29" s="92"/>
      <c r="AF29" s="90" t="s">
        <v>70</v>
      </c>
      <c r="AG29" s="94"/>
      <c r="AH29" s="90" t="s">
        <v>70</v>
      </c>
      <c r="AI29" s="78"/>
      <c r="AJ29" s="79"/>
      <c r="AK29" s="109"/>
      <c r="AL29" s="108"/>
      <c r="AM29" s="95"/>
      <c r="AN29" s="160" t="s">
        <v>8</v>
      </c>
      <c r="AO29" s="90" t="s">
        <v>38</v>
      </c>
      <c r="AP29" s="75">
        <f>IF(('Initial Inputs'!$F$8="kg"),MROUND(($AR$6*0.7),2.5),MROUND(($AR$6*0.7),5))</f>
        <v>185</v>
      </c>
      <c r="AQ29" s="76" t="s">
        <v>40</v>
      </c>
      <c r="AR29" s="75">
        <f t="shared" ref="AR29:AW29" si="20">AP29</f>
        <v>185</v>
      </c>
      <c r="AS29" s="76" t="str">
        <f t="shared" si="20"/>
        <v>x4</v>
      </c>
      <c r="AT29" s="75">
        <f t="shared" si="20"/>
        <v>185</v>
      </c>
      <c r="AU29" s="76" t="str">
        <f t="shared" si="20"/>
        <v>x4</v>
      </c>
      <c r="AV29" s="75">
        <f t="shared" si="20"/>
        <v>185</v>
      </c>
      <c r="AW29" s="76" t="str">
        <f t="shared" si="20"/>
        <v>x4</v>
      </c>
      <c r="AX29" s="78"/>
      <c r="AY29" s="79"/>
    </row>
    <row r="30" ht="15.75" customHeight="1">
      <c r="A30" s="154" t="s">
        <v>71</v>
      </c>
      <c r="B30" s="90" t="s">
        <v>38</v>
      </c>
      <c r="C30" s="92"/>
      <c r="D30" s="90" t="s">
        <v>72</v>
      </c>
      <c r="E30" s="92"/>
      <c r="F30" s="90" t="s">
        <v>72</v>
      </c>
      <c r="G30" s="94"/>
      <c r="H30" s="90" t="s">
        <v>72</v>
      </c>
      <c r="I30" s="78"/>
      <c r="J30" s="79"/>
      <c r="K30" s="109"/>
      <c r="L30" s="108"/>
      <c r="M30" s="95"/>
      <c r="N30" s="160" t="s">
        <v>71</v>
      </c>
      <c r="O30" s="90" t="s">
        <v>38</v>
      </c>
      <c r="P30" s="92"/>
      <c r="Q30" s="90" t="s">
        <v>72</v>
      </c>
      <c r="R30" s="92"/>
      <c r="S30" s="90" t="s">
        <v>72</v>
      </c>
      <c r="T30" s="94"/>
      <c r="U30" s="90" t="s">
        <v>72</v>
      </c>
      <c r="V30" s="78"/>
      <c r="W30" s="79"/>
      <c r="X30" s="109"/>
      <c r="Y30" s="108"/>
      <c r="Z30" s="95"/>
      <c r="AA30" s="160" t="s">
        <v>71</v>
      </c>
      <c r="AB30" s="90" t="s">
        <v>38</v>
      </c>
      <c r="AC30" s="92"/>
      <c r="AD30" s="90" t="s">
        <v>72</v>
      </c>
      <c r="AE30" s="92"/>
      <c r="AF30" s="90" t="s">
        <v>72</v>
      </c>
      <c r="AG30" s="94"/>
      <c r="AH30" s="90" t="s">
        <v>72</v>
      </c>
      <c r="AI30" s="78"/>
      <c r="AJ30" s="79"/>
      <c r="AK30" s="109"/>
      <c r="AL30" s="108"/>
      <c r="AM30" s="95"/>
      <c r="AN30" s="163" t="s">
        <v>9</v>
      </c>
      <c r="AO30" s="82" t="s">
        <v>38</v>
      </c>
      <c r="AP30" s="83">
        <f>IF(('Initial Inputs'!$F$8="kg"),MROUND(($AR$7*0.7),2.5),MROUND(($AR$7*0.7),5))</f>
        <v>300</v>
      </c>
      <c r="AQ30" s="110" t="s">
        <v>40</v>
      </c>
      <c r="AR30" s="83">
        <f t="shared" ref="AR30:AU30" si="21">AP30</f>
        <v>300</v>
      </c>
      <c r="AS30" s="110" t="str">
        <f t="shared" si="21"/>
        <v>x4</v>
      </c>
      <c r="AT30" s="75">
        <f t="shared" si="21"/>
        <v>300</v>
      </c>
      <c r="AU30" s="110" t="str">
        <f t="shared" si="21"/>
        <v>x4</v>
      </c>
      <c r="AV30" s="107"/>
      <c r="AW30" s="108"/>
      <c r="AX30" s="107"/>
      <c r="AY30" s="108"/>
    </row>
    <row r="31" ht="15.75" customHeight="1">
      <c r="A31" s="154" t="s">
        <v>53</v>
      </c>
      <c r="B31" s="90" t="s">
        <v>38</v>
      </c>
      <c r="C31" s="92"/>
      <c r="D31" s="90" t="s">
        <v>47</v>
      </c>
      <c r="E31" s="92"/>
      <c r="F31" s="90" t="s">
        <v>47</v>
      </c>
      <c r="G31" s="94"/>
      <c r="H31" s="90" t="s">
        <v>47</v>
      </c>
      <c r="I31" s="94"/>
      <c r="J31" s="90" t="s">
        <v>47</v>
      </c>
      <c r="K31" s="109"/>
      <c r="L31" s="108"/>
      <c r="M31" s="95"/>
      <c r="N31" s="160" t="s">
        <v>53</v>
      </c>
      <c r="O31" s="90" t="s">
        <v>38</v>
      </c>
      <c r="P31" s="92"/>
      <c r="Q31" s="90" t="s">
        <v>47</v>
      </c>
      <c r="R31" s="92"/>
      <c r="S31" s="90" t="s">
        <v>47</v>
      </c>
      <c r="T31" s="92"/>
      <c r="U31" s="90" t="s">
        <v>47</v>
      </c>
      <c r="V31" s="92"/>
      <c r="W31" s="90" t="s">
        <v>47</v>
      </c>
      <c r="X31" s="109"/>
      <c r="Y31" s="108"/>
      <c r="Z31" s="95"/>
      <c r="AA31" s="160" t="s">
        <v>53</v>
      </c>
      <c r="AB31" s="90" t="s">
        <v>38</v>
      </c>
      <c r="AC31" s="92"/>
      <c r="AD31" s="90" t="s">
        <v>47</v>
      </c>
      <c r="AE31" s="92"/>
      <c r="AF31" s="90" t="s">
        <v>47</v>
      </c>
      <c r="AG31" s="92"/>
      <c r="AH31" s="90" t="s">
        <v>47</v>
      </c>
      <c r="AI31" s="92"/>
      <c r="AJ31" s="90" t="s">
        <v>47</v>
      </c>
      <c r="AK31" s="109"/>
      <c r="AL31" s="108"/>
      <c r="AM31" s="31"/>
      <c r="AN31" s="111"/>
      <c r="AO31" s="112"/>
      <c r="AP31" s="113"/>
      <c r="AQ31" s="111"/>
      <c r="AR31" s="114"/>
      <c r="AS31" s="111"/>
      <c r="AT31" s="111"/>
      <c r="AU31" s="111"/>
      <c r="AV31" s="111"/>
      <c r="AW31" s="111"/>
      <c r="AX31" s="111"/>
      <c r="AY31" s="111"/>
    </row>
    <row r="32" ht="15.75" customHeight="1">
      <c r="A32" s="157" t="s">
        <v>73</v>
      </c>
      <c r="B32" s="101" t="s">
        <v>38</v>
      </c>
      <c r="C32" s="102"/>
      <c r="D32" s="101" t="s">
        <v>58</v>
      </c>
      <c r="E32" s="102"/>
      <c r="F32" s="84" t="s">
        <v>59</v>
      </c>
      <c r="G32" s="103"/>
      <c r="H32" s="84" t="s">
        <v>59</v>
      </c>
      <c r="I32" s="103"/>
      <c r="J32" s="84" t="s">
        <v>59</v>
      </c>
      <c r="K32" s="85"/>
      <c r="L32" s="86"/>
      <c r="M32" s="95"/>
      <c r="N32" s="164" t="s">
        <v>73</v>
      </c>
      <c r="O32" s="101" t="s">
        <v>38</v>
      </c>
      <c r="P32" s="102"/>
      <c r="Q32" s="101" t="s">
        <v>58</v>
      </c>
      <c r="R32" s="102"/>
      <c r="S32" s="84" t="s">
        <v>59</v>
      </c>
      <c r="T32" s="103"/>
      <c r="U32" s="84" t="s">
        <v>59</v>
      </c>
      <c r="V32" s="103"/>
      <c r="W32" s="84" t="s">
        <v>59</v>
      </c>
      <c r="X32" s="85"/>
      <c r="Y32" s="86"/>
      <c r="Z32" s="95"/>
      <c r="AA32" s="164" t="s">
        <v>73</v>
      </c>
      <c r="AB32" s="101" t="s">
        <v>38</v>
      </c>
      <c r="AC32" s="102"/>
      <c r="AD32" s="101" t="s">
        <v>58</v>
      </c>
      <c r="AE32" s="102"/>
      <c r="AF32" s="84" t="s">
        <v>59</v>
      </c>
      <c r="AG32" s="103"/>
      <c r="AH32" s="84" t="s">
        <v>59</v>
      </c>
      <c r="AI32" s="103"/>
      <c r="AJ32" s="84" t="s">
        <v>59</v>
      </c>
      <c r="AK32" s="85"/>
      <c r="AL32" s="86"/>
      <c r="AM32" s="31"/>
      <c r="AN32" s="115" t="s">
        <v>163</v>
      </c>
      <c r="AO32" s="112"/>
      <c r="AP32" s="113"/>
      <c r="AQ32" s="112"/>
      <c r="AR32" s="113"/>
      <c r="AS32" s="112"/>
      <c r="AT32" s="112"/>
      <c r="AU32" s="112"/>
      <c r="AV32" s="112"/>
      <c r="AW32" s="112"/>
      <c r="AX32" s="112"/>
      <c r="AY32" s="112"/>
    </row>
    <row r="33" ht="15.75" customHeight="1">
      <c r="AN33" s="112"/>
      <c r="AO33" s="112"/>
      <c r="AP33" s="113"/>
      <c r="AQ33" s="112"/>
      <c r="AR33" s="113"/>
      <c r="AS33" s="112"/>
      <c r="AT33" s="112"/>
      <c r="AU33" s="112"/>
      <c r="AV33" s="112"/>
      <c r="AW33" s="112"/>
      <c r="AX33" s="112"/>
      <c r="AY33" s="112"/>
    </row>
    <row r="34" ht="15.75" customHeight="1">
      <c r="A34" s="115" t="s">
        <v>164</v>
      </c>
      <c r="N34" s="115" t="s">
        <v>165</v>
      </c>
      <c r="AA34" s="115" t="s">
        <v>166</v>
      </c>
      <c r="AN34" s="115" t="s">
        <v>167</v>
      </c>
      <c r="AO34" s="112"/>
      <c r="AP34" s="113"/>
      <c r="AQ34" s="112"/>
      <c r="AR34" s="113"/>
      <c r="AS34" s="112"/>
      <c r="AT34" s="113"/>
      <c r="AU34" s="112"/>
      <c r="AV34" s="113"/>
      <c r="AW34" s="112"/>
      <c r="AX34" s="112"/>
      <c r="AY34" s="112"/>
    </row>
    <row r="35" ht="15.75" customHeight="1">
      <c r="AN35" s="112"/>
      <c r="AO35" s="112"/>
      <c r="AP35" s="113"/>
      <c r="AQ35" s="112"/>
      <c r="AR35" s="113"/>
      <c r="AS35" s="112"/>
      <c r="AT35" s="112"/>
      <c r="AU35" s="112"/>
      <c r="AV35" s="112"/>
      <c r="AW35" s="112"/>
      <c r="AX35" s="112"/>
      <c r="AY35" s="112"/>
    </row>
    <row r="36" ht="15.75" customHeight="1">
      <c r="A36" s="61" t="s">
        <v>168</v>
      </c>
      <c r="C36" s="64" t="s">
        <v>30</v>
      </c>
      <c r="D36" s="65"/>
      <c r="E36" s="64" t="s">
        <v>31</v>
      </c>
      <c r="F36" s="65"/>
      <c r="G36" s="64" t="s">
        <v>32</v>
      </c>
      <c r="H36" s="65"/>
      <c r="I36" s="64" t="s">
        <v>33</v>
      </c>
      <c r="J36" s="65"/>
      <c r="K36" s="64" t="s">
        <v>34</v>
      </c>
      <c r="L36" s="63"/>
      <c r="N36" s="61" t="s">
        <v>169</v>
      </c>
      <c r="P36" s="64" t="s">
        <v>30</v>
      </c>
      <c r="Q36" s="65"/>
      <c r="R36" s="64" t="s">
        <v>31</v>
      </c>
      <c r="S36" s="65"/>
      <c r="T36" s="64" t="s">
        <v>32</v>
      </c>
      <c r="U36" s="65"/>
      <c r="V36" s="64" t="s">
        <v>33</v>
      </c>
      <c r="W36" s="65"/>
      <c r="X36" s="64" t="s">
        <v>34</v>
      </c>
      <c r="Y36" s="63"/>
      <c r="AA36" s="61" t="s">
        <v>170</v>
      </c>
      <c r="AC36" s="64" t="s">
        <v>30</v>
      </c>
      <c r="AD36" s="65"/>
      <c r="AE36" s="64" t="s">
        <v>31</v>
      </c>
      <c r="AF36" s="65"/>
      <c r="AG36" s="64" t="s">
        <v>32</v>
      </c>
      <c r="AH36" s="65"/>
      <c r="AI36" s="64" t="s">
        <v>33</v>
      </c>
      <c r="AJ36" s="65"/>
      <c r="AK36" s="64" t="s">
        <v>34</v>
      </c>
      <c r="AL36" s="63"/>
      <c r="AN36" s="61" t="s">
        <v>171</v>
      </c>
      <c r="AP36" s="64" t="s">
        <v>30</v>
      </c>
      <c r="AQ36" s="65"/>
      <c r="AR36" s="64" t="s">
        <v>31</v>
      </c>
      <c r="AS36" s="65"/>
      <c r="AT36" s="64" t="s">
        <v>32</v>
      </c>
      <c r="AU36" s="65"/>
      <c r="AV36" s="64" t="s">
        <v>33</v>
      </c>
      <c r="AW36" s="65"/>
      <c r="AX36" s="64" t="s">
        <v>34</v>
      </c>
      <c r="AY36" s="63"/>
    </row>
    <row r="37" ht="15.75" customHeight="1">
      <c r="A37" s="151" t="s">
        <v>9</v>
      </c>
      <c r="B37" s="88" t="s">
        <v>38</v>
      </c>
      <c r="C37" s="166">
        <f>IF(('Initial Inputs'!$F$8="kg"),MROUND(($E$7*0.85),2.5),MROUND(($E$7*0.85),5))</f>
        <v>355</v>
      </c>
      <c r="D37" s="69" t="s">
        <v>86</v>
      </c>
      <c r="E37" s="153">
        <f t="shared" ref="E37:H37" si="22">C37</f>
        <v>355</v>
      </c>
      <c r="F37" s="69" t="str">
        <f t="shared" si="22"/>
        <v>x3</v>
      </c>
      <c r="G37" s="153">
        <f t="shared" si="22"/>
        <v>355</v>
      </c>
      <c r="H37" s="69" t="str">
        <f t="shared" si="22"/>
        <v>x3</v>
      </c>
      <c r="I37" s="70"/>
      <c r="J37" s="71"/>
      <c r="K37" s="70"/>
      <c r="L37" s="71"/>
      <c r="N37" s="151" t="s">
        <v>83</v>
      </c>
      <c r="O37" s="88" t="s">
        <v>38</v>
      </c>
      <c r="P37" s="166">
        <f>IF(('Initial Inputs'!$F$8="kg"),MROUND(($E$7*0.85),2.5),MROUND(($E$7*0.85),5))</f>
        <v>355</v>
      </c>
      <c r="Q37" s="69" t="s">
        <v>86</v>
      </c>
      <c r="R37" s="153">
        <f t="shared" ref="R37:V37" si="23">P37</f>
        <v>355</v>
      </c>
      <c r="S37" s="69" t="str">
        <f t="shared" si="23"/>
        <v>x3</v>
      </c>
      <c r="T37" s="153">
        <f t="shared" si="23"/>
        <v>355</v>
      </c>
      <c r="U37" s="69" t="str">
        <f t="shared" si="23"/>
        <v>x3</v>
      </c>
      <c r="V37" s="153">
        <f t="shared" si="23"/>
        <v>355</v>
      </c>
      <c r="W37" s="69" t="s">
        <v>84</v>
      </c>
      <c r="X37" s="70"/>
      <c r="Y37" s="71"/>
      <c r="AA37" s="151" t="s">
        <v>85</v>
      </c>
      <c r="AB37" s="88" t="s">
        <v>38</v>
      </c>
      <c r="AC37" s="153">
        <f>IF(('Initial Inputs'!$F$8="kg"),MROUND(($AE$7*0.85),2.5),MROUND(($AE$7*0.85),5))</f>
        <v>355</v>
      </c>
      <c r="AD37" s="69" t="s">
        <v>86</v>
      </c>
      <c r="AE37" s="153">
        <f t="shared" ref="AE37:AK37" si="24">AC37</f>
        <v>355</v>
      </c>
      <c r="AF37" s="69" t="str">
        <f t="shared" si="24"/>
        <v>x3</v>
      </c>
      <c r="AG37" s="153">
        <f t="shared" si="24"/>
        <v>355</v>
      </c>
      <c r="AH37" s="69" t="str">
        <f t="shared" si="24"/>
        <v>x3</v>
      </c>
      <c r="AI37" s="153">
        <f t="shared" si="24"/>
        <v>355</v>
      </c>
      <c r="AJ37" s="69" t="str">
        <f t="shared" si="24"/>
        <v>x3</v>
      </c>
      <c r="AK37" s="153">
        <f t="shared" si="24"/>
        <v>355</v>
      </c>
      <c r="AL37" s="69" t="s">
        <v>84</v>
      </c>
      <c r="AN37" s="151" t="s">
        <v>7</v>
      </c>
      <c r="AO37" s="88" t="s">
        <v>38</v>
      </c>
      <c r="AP37" s="167">
        <f>IF(('Initial Inputs'!$F$8="kg"),MROUND(($E$5*0.875),2.5),MROUND(($E$5*0.875),5))</f>
        <v>280</v>
      </c>
      <c r="AQ37" s="69" t="s">
        <v>84</v>
      </c>
      <c r="AR37" s="70"/>
      <c r="AS37" s="71"/>
      <c r="AT37" s="70"/>
      <c r="AU37" s="71"/>
      <c r="AV37" s="70"/>
      <c r="AW37" s="71"/>
      <c r="AX37" s="70"/>
      <c r="AY37" s="71"/>
    </row>
    <row r="38" ht="15.75" customHeight="1">
      <c r="A38" s="154" t="s">
        <v>8</v>
      </c>
      <c r="B38" s="90" t="s">
        <v>38</v>
      </c>
      <c r="C38" s="155">
        <f>IF(('Initial Inputs'!$F$8="kg"),MROUND(($E$6*0.85),2.5),MROUND(($E$6*0.85),5))</f>
        <v>220</v>
      </c>
      <c r="D38" s="76" t="s">
        <v>40</v>
      </c>
      <c r="E38" s="155">
        <f t="shared" ref="E38:J38" si="25">C38</f>
        <v>220</v>
      </c>
      <c r="F38" s="76" t="str">
        <f t="shared" si="25"/>
        <v>x4</v>
      </c>
      <c r="G38" s="155">
        <f t="shared" si="25"/>
        <v>220</v>
      </c>
      <c r="H38" s="76" t="str">
        <f t="shared" si="25"/>
        <v>x4</v>
      </c>
      <c r="I38" s="155">
        <f t="shared" si="25"/>
        <v>220</v>
      </c>
      <c r="J38" s="76" t="str">
        <f t="shared" si="25"/>
        <v>x4</v>
      </c>
      <c r="K38" s="78"/>
      <c r="L38" s="79"/>
      <c r="M38" s="95"/>
      <c r="N38" s="160" t="s">
        <v>87</v>
      </c>
      <c r="O38" s="90" t="s">
        <v>38</v>
      </c>
      <c r="P38" s="155">
        <f>IF(('Initial Inputs'!$F$8="kg"),MROUND(($E$6*0.85),2.5),MROUND(($E$6*0.85),5))</f>
        <v>220</v>
      </c>
      <c r="Q38" s="76" t="s">
        <v>40</v>
      </c>
      <c r="R38" s="155">
        <f t="shared" ref="R38:X38" si="26">P38</f>
        <v>220</v>
      </c>
      <c r="S38" s="76" t="str">
        <f t="shared" si="26"/>
        <v>x4</v>
      </c>
      <c r="T38" s="155">
        <f t="shared" si="26"/>
        <v>220</v>
      </c>
      <c r="U38" s="76" t="str">
        <f t="shared" si="26"/>
        <v>x4</v>
      </c>
      <c r="V38" s="155">
        <f t="shared" si="26"/>
        <v>220</v>
      </c>
      <c r="W38" s="76" t="str">
        <f t="shared" si="26"/>
        <v>x4</v>
      </c>
      <c r="X38" s="155">
        <f t="shared" si="26"/>
        <v>220</v>
      </c>
      <c r="Y38" s="76" t="s">
        <v>84</v>
      </c>
      <c r="Z38" s="95"/>
      <c r="AA38" s="160" t="s">
        <v>88</v>
      </c>
      <c r="AB38" s="90" t="s">
        <v>38</v>
      </c>
      <c r="AC38" s="156">
        <f>IF(('Initial Inputs'!$F$8="kg"),MROUND(($AE$6*0.85),2.5),MROUND(($AE$6*0.85),5))</f>
        <v>205</v>
      </c>
      <c r="AD38" s="76" t="s">
        <v>40</v>
      </c>
      <c r="AE38" s="156">
        <f t="shared" ref="AE38:AK38" si="27">AC38</f>
        <v>205</v>
      </c>
      <c r="AF38" s="76" t="str">
        <f t="shared" si="27"/>
        <v>x4</v>
      </c>
      <c r="AG38" s="156">
        <f t="shared" si="27"/>
        <v>205</v>
      </c>
      <c r="AH38" s="76" t="str">
        <f t="shared" si="27"/>
        <v>x4</v>
      </c>
      <c r="AI38" s="156">
        <f t="shared" si="27"/>
        <v>205</v>
      </c>
      <c r="AJ38" s="76" t="str">
        <f t="shared" si="27"/>
        <v>x4</v>
      </c>
      <c r="AK38" s="156">
        <f t="shared" si="27"/>
        <v>205</v>
      </c>
      <c r="AL38" s="76" t="s">
        <v>84</v>
      </c>
      <c r="AM38" s="31"/>
      <c r="AN38" s="154" t="s">
        <v>8</v>
      </c>
      <c r="AO38" s="90" t="s">
        <v>38</v>
      </c>
      <c r="AP38" s="77">
        <f>IF(('Initial Inputs'!$F$8="kg"),MROUND(($E$6*0.875),2.5),MROUND(($E$6*0.875),5))</f>
        <v>230</v>
      </c>
      <c r="AQ38" s="76" t="s">
        <v>84</v>
      </c>
      <c r="AR38" s="78"/>
      <c r="AS38" s="79"/>
      <c r="AT38" s="78"/>
      <c r="AU38" s="79"/>
      <c r="AV38" s="78"/>
      <c r="AW38" s="79"/>
      <c r="AX38" s="78"/>
      <c r="AY38" s="79"/>
    </row>
    <row r="39" ht="15.75" customHeight="1">
      <c r="A39" s="154" t="s">
        <v>89</v>
      </c>
      <c r="B39" s="90" t="s">
        <v>38</v>
      </c>
      <c r="C39" s="92"/>
      <c r="D39" s="90" t="s">
        <v>90</v>
      </c>
      <c r="E39" s="92"/>
      <c r="F39" s="90" t="s">
        <v>90</v>
      </c>
      <c r="G39" s="78"/>
      <c r="H39" s="79"/>
      <c r="I39" s="78"/>
      <c r="J39" s="79"/>
      <c r="K39" s="78"/>
      <c r="L39" s="79"/>
      <c r="M39" s="95"/>
      <c r="N39" s="160" t="s">
        <v>89</v>
      </c>
      <c r="O39" s="90" t="s">
        <v>38</v>
      </c>
      <c r="P39" s="92"/>
      <c r="Q39" s="90" t="s">
        <v>90</v>
      </c>
      <c r="R39" s="92"/>
      <c r="S39" s="90" t="s">
        <v>90</v>
      </c>
      <c r="T39" s="78"/>
      <c r="U39" s="79"/>
      <c r="V39" s="78"/>
      <c r="W39" s="79"/>
      <c r="X39" s="78"/>
      <c r="Y39" s="79"/>
      <c r="Z39" s="95"/>
      <c r="AA39" s="160" t="s">
        <v>89</v>
      </c>
      <c r="AB39" s="90" t="s">
        <v>38</v>
      </c>
      <c r="AC39" s="92"/>
      <c r="AD39" s="90" t="s">
        <v>90</v>
      </c>
      <c r="AE39" s="92"/>
      <c r="AF39" s="90" t="s">
        <v>90</v>
      </c>
      <c r="AG39" s="78"/>
      <c r="AH39" s="79"/>
      <c r="AI39" s="78"/>
      <c r="AJ39" s="79"/>
      <c r="AK39" s="78"/>
      <c r="AL39" s="79"/>
      <c r="AM39" s="31"/>
      <c r="AN39" s="157" t="s">
        <v>9</v>
      </c>
      <c r="AO39" s="82" t="s">
        <v>38</v>
      </c>
      <c r="AP39" s="83">
        <f>IF(('Initial Inputs'!$F$8="kg"),MROUND(($E$7*0.875),2.5),MROUND(($E$7*0.875),5))</f>
        <v>370</v>
      </c>
      <c r="AQ39" s="101" t="s">
        <v>84</v>
      </c>
      <c r="AR39" s="85"/>
      <c r="AS39" s="86"/>
      <c r="AT39" s="85"/>
      <c r="AU39" s="86"/>
      <c r="AV39" s="85"/>
      <c r="AW39" s="86"/>
      <c r="AX39" s="85"/>
      <c r="AY39" s="86"/>
    </row>
    <row r="40" ht="15.75" customHeight="1">
      <c r="A40" s="154" t="s">
        <v>91</v>
      </c>
      <c r="B40" s="90" t="s">
        <v>38</v>
      </c>
      <c r="C40" s="92"/>
      <c r="D40" s="90" t="s">
        <v>90</v>
      </c>
      <c r="E40" s="92"/>
      <c r="F40" s="90" t="s">
        <v>90</v>
      </c>
      <c r="G40" s="78"/>
      <c r="H40" s="79"/>
      <c r="I40" s="78"/>
      <c r="J40" s="79"/>
      <c r="K40" s="78"/>
      <c r="L40" s="79"/>
      <c r="M40" s="95"/>
      <c r="N40" s="160" t="s">
        <v>91</v>
      </c>
      <c r="O40" s="90" t="s">
        <v>38</v>
      </c>
      <c r="P40" s="92"/>
      <c r="Q40" s="90" t="s">
        <v>90</v>
      </c>
      <c r="R40" s="92"/>
      <c r="S40" s="90" t="s">
        <v>90</v>
      </c>
      <c r="T40" s="78"/>
      <c r="U40" s="79"/>
      <c r="V40" s="78"/>
      <c r="W40" s="79"/>
      <c r="X40" s="78"/>
      <c r="Y40" s="79"/>
      <c r="Z40" s="95"/>
      <c r="AA40" s="160" t="s">
        <v>91</v>
      </c>
      <c r="AB40" s="90" t="s">
        <v>38</v>
      </c>
      <c r="AC40" s="92"/>
      <c r="AD40" s="90" t="s">
        <v>90</v>
      </c>
      <c r="AE40" s="92"/>
      <c r="AF40" s="90" t="s">
        <v>90</v>
      </c>
      <c r="AG40" s="78"/>
      <c r="AH40" s="79"/>
      <c r="AI40" s="78"/>
      <c r="AJ40" s="79"/>
      <c r="AK40" s="78"/>
      <c r="AL40" s="79"/>
      <c r="AM40" s="31"/>
      <c r="AN40" s="112"/>
      <c r="AO40" s="112"/>
      <c r="AP40" s="113"/>
      <c r="AQ40" s="112"/>
      <c r="AR40" s="113"/>
      <c r="AS40" s="112"/>
      <c r="AT40" s="112"/>
      <c r="AU40" s="112"/>
      <c r="AV40" s="112"/>
      <c r="AW40" s="112"/>
      <c r="AX40" s="112"/>
      <c r="AY40" s="112"/>
    </row>
    <row r="41" ht="15.75" customHeight="1">
      <c r="A41" s="154" t="s">
        <v>92</v>
      </c>
      <c r="B41" s="90" t="s">
        <v>38</v>
      </c>
      <c r="C41" s="92"/>
      <c r="D41" s="90" t="s">
        <v>90</v>
      </c>
      <c r="E41" s="92"/>
      <c r="F41" s="90" t="s">
        <v>90</v>
      </c>
      <c r="G41" s="78"/>
      <c r="H41" s="79"/>
      <c r="I41" s="78"/>
      <c r="J41" s="79"/>
      <c r="K41" s="78"/>
      <c r="L41" s="79"/>
      <c r="M41" s="95"/>
      <c r="N41" s="160" t="s">
        <v>92</v>
      </c>
      <c r="O41" s="90" t="s">
        <v>38</v>
      </c>
      <c r="P41" s="92"/>
      <c r="Q41" s="90" t="s">
        <v>90</v>
      </c>
      <c r="R41" s="92"/>
      <c r="S41" s="90" t="s">
        <v>90</v>
      </c>
      <c r="T41" s="78"/>
      <c r="U41" s="79"/>
      <c r="V41" s="78"/>
      <c r="W41" s="79"/>
      <c r="X41" s="78"/>
      <c r="Y41" s="79"/>
      <c r="Z41" s="95"/>
      <c r="AA41" s="160" t="s">
        <v>92</v>
      </c>
      <c r="AB41" s="90" t="s">
        <v>38</v>
      </c>
      <c r="AC41" s="92"/>
      <c r="AD41" s="90" t="s">
        <v>90</v>
      </c>
      <c r="AE41" s="92"/>
      <c r="AF41" s="90" t="s">
        <v>90</v>
      </c>
      <c r="AG41" s="78"/>
      <c r="AH41" s="79"/>
      <c r="AI41" s="78"/>
      <c r="AJ41" s="79"/>
      <c r="AK41" s="78"/>
      <c r="AL41" s="79"/>
      <c r="AM41" s="31"/>
      <c r="AN41" s="115" t="s">
        <v>172</v>
      </c>
      <c r="AO41" s="112"/>
      <c r="AP41" s="113"/>
      <c r="AQ41" s="112"/>
      <c r="AR41" s="113"/>
      <c r="AS41" s="112"/>
      <c r="AT41" s="112"/>
      <c r="AU41" s="112"/>
      <c r="AV41" s="112"/>
      <c r="AW41" s="112"/>
      <c r="AX41" s="112"/>
      <c r="AY41" s="112"/>
    </row>
    <row r="42" ht="15.75" customHeight="1">
      <c r="A42" s="154" t="s">
        <v>94</v>
      </c>
      <c r="B42" s="90" t="s">
        <v>38</v>
      </c>
      <c r="C42" s="92"/>
      <c r="D42" s="90" t="s">
        <v>90</v>
      </c>
      <c r="E42" s="92"/>
      <c r="F42" s="90" t="s">
        <v>90</v>
      </c>
      <c r="G42" s="78"/>
      <c r="H42" s="79"/>
      <c r="I42" s="78"/>
      <c r="J42" s="79"/>
      <c r="K42" s="78"/>
      <c r="L42" s="79"/>
      <c r="M42" s="95"/>
      <c r="N42" s="160" t="s">
        <v>94</v>
      </c>
      <c r="O42" s="90" t="s">
        <v>38</v>
      </c>
      <c r="P42" s="92"/>
      <c r="Q42" s="90" t="s">
        <v>90</v>
      </c>
      <c r="R42" s="92"/>
      <c r="S42" s="90" t="s">
        <v>90</v>
      </c>
      <c r="T42" s="78"/>
      <c r="U42" s="79"/>
      <c r="V42" s="78"/>
      <c r="W42" s="79"/>
      <c r="X42" s="78"/>
      <c r="Y42" s="79"/>
      <c r="Z42" s="95"/>
      <c r="AA42" s="160" t="s">
        <v>94</v>
      </c>
      <c r="AB42" s="90" t="s">
        <v>38</v>
      </c>
      <c r="AC42" s="92"/>
      <c r="AD42" s="90" t="s">
        <v>90</v>
      </c>
      <c r="AE42" s="92"/>
      <c r="AF42" s="90" t="s">
        <v>90</v>
      </c>
      <c r="AG42" s="78"/>
      <c r="AH42" s="79"/>
      <c r="AI42" s="78"/>
      <c r="AJ42" s="79"/>
      <c r="AK42" s="78"/>
      <c r="AL42" s="79"/>
      <c r="AM42" s="31"/>
      <c r="AN42" s="112"/>
      <c r="AO42" s="112"/>
      <c r="AP42" s="113"/>
      <c r="AQ42" s="112"/>
      <c r="AR42" s="113"/>
      <c r="AS42" s="112"/>
      <c r="AT42" s="112"/>
      <c r="AU42" s="112"/>
      <c r="AV42" s="112"/>
      <c r="AW42" s="112"/>
      <c r="AX42" s="112"/>
      <c r="AY42" s="112"/>
    </row>
    <row r="43" ht="15.75" customHeight="1">
      <c r="A43" s="162" t="s">
        <v>95</v>
      </c>
      <c r="B43" s="90" t="s">
        <v>38</v>
      </c>
      <c r="C43" s="92"/>
      <c r="D43" s="90" t="s">
        <v>90</v>
      </c>
      <c r="E43" s="92"/>
      <c r="F43" s="90" t="s">
        <v>90</v>
      </c>
      <c r="G43" s="94"/>
      <c r="H43" s="90" t="s">
        <v>90</v>
      </c>
      <c r="I43" s="94"/>
      <c r="J43" s="90" t="s">
        <v>90</v>
      </c>
      <c r="K43" s="94"/>
      <c r="L43" s="90" t="s">
        <v>90</v>
      </c>
      <c r="M43" s="95"/>
      <c r="N43" s="163" t="s">
        <v>95</v>
      </c>
      <c r="O43" s="90" t="s">
        <v>38</v>
      </c>
      <c r="P43" s="92"/>
      <c r="Q43" s="90" t="s">
        <v>90</v>
      </c>
      <c r="R43" s="92"/>
      <c r="S43" s="90" t="s">
        <v>90</v>
      </c>
      <c r="T43" s="94"/>
      <c r="U43" s="90" t="s">
        <v>90</v>
      </c>
      <c r="V43" s="94"/>
      <c r="W43" s="90" t="s">
        <v>90</v>
      </c>
      <c r="X43" s="94"/>
      <c r="Y43" s="90" t="s">
        <v>90</v>
      </c>
      <c r="Z43" s="95"/>
      <c r="AA43" s="163" t="s">
        <v>95</v>
      </c>
      <c r="AB43" s="90" t="s">
        <v>38</v>
      </c>
      <c r="AC43" s="92"/>
      <c r="AD43" s="90" t="s">
        <v>90</v>
      </c>
      <c r="AE43" s="92"/>
      <c r="AF43" s="90" t="s">
        <v>90</v>
      </c>
      <c r="AG43" s="94"/>
      <c r="AH43" s="90" t="s">
        <v>90</v>
      </c>
      <c r="AI43" s="94"/>
      <c r="AJ43" s="90" t="s">
        <v>90</v>
      </c>
      <c r="AK43" s="94"/>
      <c r="AL43" s="90" t="s">
        <v>90</v>
      </c>
      <c r="AM43" s="31"/>
      <c r="AN43" s="112"/>
      <c r="AO43" s="112"/>
      <c r="AP43" s="113"/>
      <c r="AQ43" s="112"/>
      <c r="AR43" s="113"/>
      <c r="AS43" s="112"/>
      <c r="AT43" s="112"/>
      <c r="AU43" s="112"/>
      <c r="AV43" s="112"/>
      <c r="AW43" s="112"/>
      <c r="AX43" s="112"/>
      <c r="AY43" s="112"/>
    </row>
    <row r="44" ht="15.75" customHeight="1">
      <c r="A44" s="154" t="s">
        <v>96</v>
      </c>
      <c r="B44" s="110" t="s">
        <v>38</v>
      </c>
      <c r="C44" s="92"/>
      <c r="D44" s="90" t="s">
        <v>97</v>
      </c>
      <c r="E44" s="92"/>
      <c r="F44" s="76" t="s">
        <v>98</v>
      </c>
      <c r="G44" s="94"/>
      <c r="H44" s="76" t="s">
        <v>98</v>
      </c>
      <c r="I44" s="94"/>
      <c r="J44" s="76" t="s">
        <v>98</v>
      </c>
      <c r="K44" s="78"/>
      <c r="L44" s="79"/>
      <c r="M44" s="95"/>
      <c r="N44" s="160" t="s">
        <v>96</v>
      </c>
      <c r="O44" s="110" t="s">
        <v>38</v>
      </c>
      <c r="P44" s="92"/>
      <c r="Q44" s="90" t="s">
        <v>97</v>
      </c>
      <c r="R44" s="92"/>
      <c r="S44" s="76" t="s">
        <v>98</v>
      </c>
      <c r="T44" s="94"/>
      <c r="U44" s="76" t="s">
        <v>98</v>
      </c>
      <c r="V44" s="94"/>
      <c r="W44" s="76" t="s">
        <v>98</v>
      </c>
      <c r="X44" s="78"/>
      <c r="Y44" s="79"/>
      <c r="Z44" s="95"/>
      <c r="AA44" s="160" t="s">
        <v>96</v>
      </c>
      <c r="AB44" s="110" t="s">
        <v>38</v>
      </c>
      <c r="AC44" s="92"/>
      <c r="AD44" s="90" t="s">
        <v>97</v>
      </c>
      <c r="AE44" s="92"/>
      <c r="AF44" s="76" t="s">
        <v>98</v>
      </c>
      <c r="AG44" s="94"/>
      <c r="AH44" s="76" t="s">
        <v>98</v>
      </c>
      <c r="AI44" s="94"/>
      <c r="AJ44" s="76" t="s">
        <v>98</v>
      </c>
      <c r="AK44" s="78"/>
      <c r="AL44" s="79"/>
      <c r="AM44" s="31"/>
      <c r="AN44" s="117"/>
      <c r="AO44" s="118" t="s">
        <v>173</v>
      </c>
      <c r="AP44" s="119"/>
      <c r="AQ44" s="119"/>
      <c r="AR44" s="120"/>
      <c r="AS44" s="121"/>
      <c r="AT44" s="112"/>
      <c r="AU44" s="112"/>
      <c r="AV44" s="112"/>
      <c r="AW44" s="112"/>
      <c r="AX44" s="112"/>
      <c r="AY44" s="112"/>
    </row>
    <row r="45" ht="15.75" customHeight="1">
      <c r="A45" s="162" t="s">
        <v>100</v>
      </c>
      <c r="B45" s="90" t="s">
        <v>38</v>
      </c>
      <c r="C45" s="92"/>
      <c r="D45" s="90" t="s">
        <v>90</v>
      </c>
      <c r="E45" s="92"/>
      <c r="F45" s="90" t="s">
        <v>90</v>
      </c>
      <c r="G45" s="94"/>
      <c r="H45" s="90" t="s">
        <v>90</v>
      </c>
      <c r="I45" s="78"/>
      <c r="J45" s="122"/>
      <c r="K45" s="78"/>
      <c r="L45" s="122"/>
      <c r="M45" s="95"/>
      <c r="N45" s="163" t="s">
        <v>100</v>
      </c>
      <c r="O45" s="90" t="s">
        <v>38</v>
      </c>
      <c r="P45" s="92"/>
      <c r="Q45" s="90" t="s">
        <v>90</v>
      </c>
      <c r="R45" s="92"/>
      <c r="S45" s="90" t="s">
        <v>90</v>
      </c>
      <c r="T45" s="94"/>
      <c r="U45" s="90" t="s">
        <v>90</v>
      </c>
      <c r="V45" s="78"/>
      <c r="W45" s="122"/>
      <c r="X45" s="78"/>
      <c r="Y45" s="122"/>
      <c r="Z45" s="95"/>
      <c r="AA45" s="163" t="s">
        <v>100</v>
      </c>
      <c r="AB45" s="90" t="s">
        <v>38</v>
      </c>
      <c r="AC45" s="92"/>
      <c r="AD45" s="90" t="s">
        <v>90</v>
      </c>
      <c r="AE45" s="92"/>
      <c r="AF45" s="90" t="s">
        <v>90</v>
      </c>
      <c r="AG45" s="94"/>
      <c r="AH45" s="90" t="s">
        <v>90</v>
      </c>
      <c r="AI45" s="78"/>
      <c r="AJ45" s="122"/>
      <c r="AK45" s="78"/>
      <c r="AL45" s="122"/>
      <c r="AM45" s="31"/>
      <c r="AN45" s="123"/>
      <c r="AO45" s="124"/>
      <c r="AP45" s="4"/>
      <c r="AQ45" s="4"/>
      <c r="AR45" s="125"/>
      <c r="AT45" s="112"/>
      <c r="AU45" s="112"/>
      <c r="AV45" s="112"/>
      <c r="AW45" s="112"/>
      <c r="AX45" s="112"/>
      <c r="AY45" s="112"/>
    </row>
    <row r="46" ht="15.75" customHeight="1">
      <c r="A46" s="157" t="s">
        <v>101</v>
      </c>
      <c r="B46" s="101" t="s">
        <v>38</v>
      </c>
      <c r="C46" s="102"/>
      <c r="D46" s="101" t="s">
        <v>97</v>
      </c>
      <c r="E46" s="102"/>
      <c r="F46" s="98" t="s">
        <v>98</v>
      </c>
      <c r="G46" s="103"/>
      <c r="H46" s="84" t="s">
        <v>98</v>
      </c>
      <c r="I46" s="103"/>
      <c r="J46" s="84" t="s">
        <v>98</v>
      </c>
      <c r="K46" s="85"/>
      <c r="L46" s="86"/>
      <c r="M46" s="95"/>
      <c r="N46" s="164" t="s">
        <v>101</v>
      </c>
      <c r="O46" s="101" t="s">
        <v>38</v>
      </c>
      <c r="P46" s="102"/>
      <c r="Q46" s="101" t="s">
        <v>97</v>
      </c>
      <c r="R46" s="102"/>
      <c r="S46" s="98" t="s">
        <v>98</v>
      </c>
      <c r="T46" s="103"/>
      <c r="U46" s="84" t="s">
        <v>98</v>
      </c>
      <c r="V46" s="103"/>
      <c r="W46" s="84" t="s">
        <v>98</v>
      </c>
      <c r="X46" s="85"/>
      <c r="Y46" s="86"/>
      <c r="Z46" s="95"/>
      <c r="AA46" s="164" t="s">
        <v>101</v>
      </c>
      <c r="AB46" s="101" t="s">
        <v>38</v>
      </c>
      <c r="AC46" s="102"/>
      <c r="AD46" s="101" t="s">
        <v>97</v>
      </c>
      <c r="AE46" s="102"/>
      <c r="AF46" s="98" t="s">
        <v>98</v>
      </c>
      <c r="AG46" s="103"/>
      <c r="AH46" s="84" t="s">
        <v>98</v>
      </c>
      <c r="AI46" s="103"/>
      <c r="AJ46" s="84" t="s">
        <v>98</v>
      </c>
      <c r="AK46" s="85"/>
      <c r="AL46" s="86"/>
      <c r="AM46" s="31"/>
      <c r="AN46" s="126" t="s">
        <v>102</v>
      </c>
      <c r="AO46" s="127" t="s">
        <v>174</v>
      </c>
      <c r="AP46" s="127" t="s">
        <v>175</v>
      </c>
      <c r="AQ46" s="127" t="s">
        <v>125</v>
      </c>
      <c r="AR46" s="128" t="s">
        <v>176</v>
      </c>
      <c r="AS46" s="129"/>
      <c r="AT46" s="112"/>
      <c r="AU46" s="112"/>
      <c r="AV46" s="112"/>
      <c r="AW46" s="112"/>
      <c r="AX46" s="112"/>
      <c r="AY46" s="112"/>
    </row>
    <row r="47" ht="15.75" customHeight="1">
      <c r="A47" s="112"/>
      <c r="B47" s="112"/>
      <c r="C47" s="113"/>
      <c r="D47" s="112"/>
      <c r="E47" s="113"/>
      <c r="F47" s="111"/>
      <c r="G47" s="112"/>
      <c r="H47" s="112"/>
      <c r="I47" s="112"/>
      <c r="J47" s="112"/>
      <c r="K47" s="111"/>
      <c r="L47" s="111"/>
      <c r="N47" s="112"/>
      <c r="O47" s="112"/>
      <c r="P47" s="113"/>
      <c r="Q47" s="112"/>
      <c r="R47" s="113"/>
      <c r="S47" s="111"/>
      <c r="T47" s="112"/>
      <c r="U47" s="112"/>
      <c r="V47" s="112"/>
      <c r="W47" s="112"/>
      <c r="X47" s="111"/>
      <c r="Y47" s="111"/>
      <c r="AA47" s="112"/>
      <c r="AB47" s="112"/>
      <c r="AC47" s="113"/>
      <c r="AD47" s="112"/>
      <c r="AE47" s="113"/>
      <c r="AF47" s="111"/>
      <c r="AG47" s="112"/>
      <c r="AH47" s="112"/>
      <c r="AI47" s="112"/>
      <c r="AJ47" s="112"/>
      <c r="AK47" s="111"/>
      <c r="AL47" s="111"/>
      <c r="AN47" s="130" t="s">
        <v>106</v>
      </c>
      <c r="AO47" s="168">
        <f>IF(('Initial Inputs'!$F$8="kg"),MROUND(($E$5*0.98),2.5),MROUND(($E$5*0.98),5))</f>
        <v>315</v>
      </c>
      <c r="AP47" s="168">
        <f>IF(('Initial Inputs'!$F$8="kg"),MROUND(($E$5*1),2.5),MROUND(($E$5*1),5))</f>
        <v>320</v>
      </c>
      <c r="AQ47" s="168">
        <f>IF(('Initial Inputs'!$F$8="kg"),MROUND(($E$5*1.015),2.5),MROUND(($E$5*1.015),5))</f>
        <v>325</v>
      </c>
      <c r="AR47" s="168">
        <f>IF(('Initial Inputs'!$F$8="kg"),MROUND(($E$5*1.025),2.5),MROUND(($E$5*1.025),5))</f>
        <v>330</v>
      </c>
      <c r="AS47" s="169"/>
    </row>
    <row r="48" ht="15.75" customHeight="1">
      <c r="AN48" s="123"/>
      <c r="AO48" s="4"/>
      <c r="AP48" s="4"/>
      <c r="AQ48" s="4"/>
      <c r="AR48" s="125"/>
      <c r="AS48" s="31"/>
    </row>
    <row r="49" ht="15.75" customHeight="1">
      <c r="A49" s="61" t="s">
        <v>177</v>
      </c>
      <c r="C49" s="64" t="s">
        <v>30</v>
      </c>
      <c r="D49" s="65"/>
      <c r="E49" s="64" t="s">
        <v>31</v>
      </c>
      <c r="F49" s="65"/>
      <c r="G49" s="64" t="s">
        <v>32</v>
      </c>
      <c r="H49" s="65"/>
      <c r="I49" s="64" t="s">
        <v>33</v>
      </c>
      <c r="J49" s="65"/>
      <c r="K49" s="64" t="s">
        <v>34</v>
      </c>
      <c r="L49" s="63"/>
      <c r="N49" s="61" t="s">
        <v>178</v>
      </c>
      <c r="P49" s="64" t="s">
        <v>30</v>
      </c>
      <c r="Q49" s="65"/>
      <c r="R49" s="64" t="s">
        <v>31</v>
      </c>
      <c r="S49" s="65"/>
      <c r="T49" s="64" t="s">
        <v>32</v>
      </c>
      <c r="U49" s="65"/>
      <c r="V49" s="64" t="s">
        <v>33</v>
      </c>
      <c r="W49" s="65"/>
      <c r="X49" s="64" t="s">
        <v>34</v>
      </c>
      <c r="Y49" s="63"/>
      <c r="AA49" s="61" t="s">
        <v>179</v>
      </c>
      <c r="AC49" s="64" t="s">
        <v>30</v>
      </c>
      <c r="AD49" s="65"/>
      <c r="AE49" s="64" t="s">
        <v>31</v>
      </c>
      <c r="AF49" s="65"/>
      <c r="AG49" s="64" t="s">
        <v>32</v>
      </c>
      <c r="AH49" s="65"/>
      <c r="AI49" s="64" t="s">
        <v>33</v>
      </c>
      <c r="AJ49" s="65"/>
      <c r="AK49" s="64" t="s">
        <v>34</v>
      </c>
      <c r="AL49" s="63"/>
      <c r="AN49" s="126" t="s">
        <v>102</v>
      </c>
      <c r="AO49" s="127" t="s">
        <v>174</v>
      </c>
      <c r="AP49" s="127" t="s">
        <v>175</v>
      </c>
      <c r="AQ49" s="127" t="s">
        <v>125</v>
      </c>
      <c r="AR49" s="128" t="s">
        <v>176</v>
      </c>
      <c r="AS49" s="129"/>
      <c r="AT49" s="31"/>
      <c r="AU49" s="31"/>
      <c r="AV49" s="31"/>
      <c r="AW49" s="31"/>
      <c r="AX49" s="31"/>
      <c r="AY49" s="31"/>
    </row>
    <row r="50" ht="15.75" customHeight="1">
      <c r="A50" s="151" t="s">
        <v>7</v>
      </c>
      <c r="B50" s="88" t="s">
        <v>38</v>
      </c>
      <c r="C50" s="153">
        <f>IF(('Initial Inputs'!$F$8="kg"),MROUND(($E$5*0.85),2.5),MROUND(($E$5*0.85),5))</f>
        <v>270</v>
      </c>
      <c r="D50" s="69" t="s">
        <v>40</v>
      </c>
      <c r="E50" s="153">
        <f t="shared" ref="E50:J50" si="28">C50</f>
        <v>270</v>
      </c>
      <c r="F50" s="69" t="str">
        <f t="shared" si="28"/>
        <v>x4</v>
      </c>
      <c r="G50" s="153">
        <f t="shared" si="28"/>
        <v>270</v>
      </c>
      <c r="H50" s="69" t="str">
        <f t="shared" si="28"/>
        <v>x4</v>
      </c>
      <c r="I50" s="153">
        <f t="shared" si="28"/>
        <v>270</v>
      </c>
      <c r="J50" s="69" t="str">
        <f t="shared" si="28"/>
        <v>x4</v>
      </c>
      <c r="K50" s="70"/>
      <c r="L50" s="71"/>
      <c r="N50" s="151" t="s">
        <v>110</v>
      </c>
      <c r="O50" s="88" t="s">
        <v>38</v>
      </c>
      <c r="P50" s="153">
        <f>IF(('Initial Inputs'!$F$8="kg"),MROUND(($E$5*0.85),2.5),MROUND(($E$5*0.85),5))</f>
        <v>270</v>
      </c>
      <c r="Q50" s="69" t="s">
        <v>40</v>
      </c>
      <c r="R50" s="153">
        <f t="shared" ref="R50:X50" si="29">P50</f>
        <v>270</v>
      </c>
      <c r="S50" s="69" t="str">
        <f t="shared" si="29"/>
        <v>x4</v>
      </c>
      <c r="T50" s="153">
        <f t="shared" si="29"/>
        <v>270</v>
      </c>
      <c r="U50" s="69" t="str">
        <f t="shared" si="29"/>
        <v>x4</v>
      </c>
      <c r="V50" s="153">
        <f t="shared" si="29"/>
        <v>270</v>
      </c>
      <c r="W50" s="69" t="str">
        <f t="shared" si="29"/>
        <v>x4</v>
      </c>
      <c r="X50" s="153">
        <f t="shared" si="29"/>
        <v>270</v>
      </c>
      <c r="Y50" s="69" t="s">
        <v>84</v>
      </c>
      <c r="Z50" s="95"/>
      <c r="AA50" s="170" t="s">
        <v>111</v>
      </c>
      <c r="AB50" s="88" t="s">
        <v>38</v>
      </c>
      <c r="AC50" s="156">
        <f>IF(('Initial Inputs'!$F$8="kg"),MROUND(($AE$5*0.85),2.5),MROUND(($AE$5*0.85),5))</f>
        <v>275</v>
      </c>
      <c r="AD50" s="69" t="s">
        <v>40</v>
      </c>
      <c r="AE50" s="156">
        <f t="shared" ref="AE50:AK50" si="30">AC50</f>
        <v>275</v>
      </c>
      <c r="AF50" s="69" t="str">
        <f t="shared" si="30"/>
        <v>x4</v>
      </c>
      <c r="AG50" s="156">
        <f t="shared" si="30"/>
        <v>275</v>
      </c>
      <c r="AH50" s="69" t="str">
        <f t="shared" si="30"/>
        <v>x4</v>
      </c>
      <c r="AI50" s="156">
        <f t="shared" si="30"/>
        <v>275</v>
      </c>
      <c r="AJ50" s="69" t="str">
        <f t="shared" si="30"/>
        <v>x4</v>
      </c>
      <c r="AK50" s="156">
        <f t="shared" si="30"/>
        <v>275</v>
      </c>
      <c r="AL50" s="69" t="s">
        <v>84</v>
      </c>
      <c r="AM50" s="31"/>
      <c r="AN50" s="130" t="s">
        <v>112</v>
      </c>
      <c r="AO50" s="168">
        <f>IF(('Initial Inputs'!$F$8="kg"),MROUND(($E$6*0.98),2.5),MROUND(($E$6*0.98),5))</f>
        <v>255</v>
      </c>
      <c r="AP50" s="168">
        <f>IF(('Initial Inputs'!$F$8="kg"),MROUND(($E$6*1),2.5),MROUND(($E$6*1),5))</f>
        <v>260</v>
      </c>
      <c r="AQ50" s="168">
        <f>IF(('Initial Inputs'!$F$8="kg"),MROUND(($E$6*1.015),2.5),MROUND(($E$6*1.015),5))</f>
        <v>265</v>
      </c>
      <c r="AR50" s="168">
        <f>IF(('Initial Inputs'!$F$8="kg"),MROUND(($E$6*1.025),2.5),MROUND(($E$6*1.025),5))</f>
        <v>265</v>
      </c>
      <c r="AS50" s="169"/>
      <c r="AT50" s="112"/>
      <c r="AU50" s="112"/>
      <c r="AV50" s="112"/>
      <c r="AW50" s="112"/>
      <c r="AX50" s="112"/>
      <c r="AY50" s="112"/>
    </row>
    <row r="51" ht="15.75" customHeight="1">
      <c r="A51" s="154" t="s">
        <v>113</v>
      </c>
      <c r="B51" s="90" t="s">
        <v>38</v>
      </c>
      <c r="C51" s="91"/>
      <c r="D51" s="76" t="s">
        <v>97</v>
      </c>
      <c r="E51" s="92"/>
      <c r="F51" s="76" t="s">
        <v>98</v>
      </c>
      <c r="G51" s="94"/>
      <c r="H51" s="76" t="s">
        <v>98</v>
      </c>
      <c r="I51" s="94"/>
      <c r="J51" s="76" t="s">
        <v>98</v>
      </c>
      <c r="K51" s="78"/>
      <c r="L51" s="79"/>
      <c r="M51" s="95"/>
      <c r="N51" s="160" t="s">
        <v>113</v>
      </c>
      <c r="O51" s="90" t="s">
        <v>38</v>
      </c>
      <c r="P51" s="91"/>
      <c r="Q51" s="76" t="s">
        <v>97</v>
      </c>
      <c r="R51" s="92"/>
      <c r="S51" s="76" t="s">
        <v>98</v>
      </c>
      <c r="T51" s="94"/>
      <c r="U51" s="76" t="s">
        <v>98</v>
      </c>
      <c r="V51" s="94"/>
      <c r="W51" s="76" t="s">
        <v>98</v>
      </c>
      <c r="X51" s="78"/>
      <c r="Y51" s="79"/>
      <c r="Z51" s="95"/>
      <c r="AA51" s="160" t="s">
        <v>113</v>
      </c>
      <c r="AB51" s="90" t="s">
        <v>38</v>
      </c>
      <c r="AC51" s="91"/>
      <c r="AD51" s="76" t="s">
        <v>97</v>
      </c>
      <c r="AE51" s="92"/>
      <c r="AF51" s="76" t="s">
        <v>98</v>
      </c>
      <c r="AG51" s="94"/>
      <c r="AH51" s="76" t="s">
        <v>98</v>
      </c>
      <c r="AI51" s="94"/>
      <c r="AJ51" s="76" t="s">
        <v>98</v>
      </c>
      <c r="AK51" s="78"/>
      <c r="AL51" s="79"/>
      <c r="AM51" s="31"/>
      <c r="AN51" s="123"/>
      <c r="AO51" s="4"/>
      <c r="AP51" s="4"/>
      <c r="AQ51" s="4"/>
      <c r="AR51" s="125"/>
      <c r="AS51" s="31"/>
      <c r="AT51" s="31"/>
      <c r="AU51" s="31"/>
      <c r="AV51" s="31"/>
      <c r="AW51" s="31"/>
      <c r="AX51" s="31"/>
      <c r="AY51" s="31"/>
    </row>
    <row r="52" ht="15.75" customHeight="1">
      <c r="A52" s="154" t="s">
        <v>114</v>
      </c>
      <c r="B52" s="90" t="s">
        <v>38</v>
      </c>
      <c r="C52" s="92"/>
      <c r="D52" s="90" t="s">
        <v>97</v>
      </c>
      <c r="E52" s="92"/>
      <c r="F52" s="76" t="s">
        <v>98</v>
      </c>
      <c r="G52" s="94"/>
      <c r="H52" s="76" t="s">
        <v>98</v>
      </c>
      <c r="I52" s="94"/>
      <c r="J52" s="76" t="s">
        <v>98</v>
      </c>
      <c r="K52" s="78"/>
      <c r="L52" s="79"/>
      <c r="M52" s="95"/>
      <c r="N52" s="160" t="s">
        <v>114</v>
      </c>
      <c r="O52" s="90" t="s">
        <v>38</v>
      </c>
      <c r="P52" s="92"/>
      <c r="Q52" s="90" t="s">
        <v>97</v>
      </c>
      <c r="R52" s="92"/>
      <c r="S52" s="76" t="s">
        <v>98</v>
      </c>
      <c r="T52" s="94"/>
      <c r="U52" s="76" t="s">
        <v>98</v>
      </c>
      <c r="V52" s="94"/>
      <c r="W52" s="76" t="s">
        <v>98</v>
      </c>
      <c r="X52" s="78"/>
      <c r="Y52" s="79"/>
      <c r="Z52" s="95"/>
      <c r="AA52" s="160" t="s">
        <v>114</v>
      </c>
      <c r="AB52" s="90" t="s">
        <v>38</v>
      </c>
      <c r="AC52" s="92"/>
      <c r="AD52" s="90" t="s">
        <v>97</v>
      </c>
      <c r="AE52" s="92"/>
      <c r="AF52" s="76" t="s">
        <v>98</v>
      </c>
      <c r="AG52" s="94"/>
      <c r="AH52" s="76" t="s">
        <v>98</v>
      </c>
      <c r="AI52" s="94"/>
      <c r="AJ52" s="76" t="s">
        <v>98</v>
      </c>
      <c r="AK52" s="78"/>
      <c r="AL52" s="79"/>
      <c r="AM52" s="31"/>
      <c r="AN52" s="126" t="s">
        <v>102</v>
      </c>
      <c r="AO52" s="127" t="s">
        <v>174</v>
      </c>
      <c r="AP52" s="127" t="s">
        <v>175</v>
      </c>
      <c r="AQ52" s="127" t="s">
        <v>125</v>
      </c>
      <c r="AR52" s="128" t="s">
        <v>176</v>
      </c>
      <c r="AS52" s="129"/>
      <c r="AT52" s="112"/>
      <c r="AU52" s="112"/>
      <c r="AV52" s="112"/>
      <c r="AW52" s="112"/>
      <c r="AX52" s="112"/>
      <c r="AY52" s="112"/>
    </row>
    <row r="53" ht="15.75" customHeight="1">
      <c r="A53" s="154" t="s">
        <v>69</v>
      </c>
      <c r="B53" s="90" t="s">
        <v>38</v>
      </c>
      <c r="C53" s="92"/>
      <c r="D53" s="90" t="s">
        <v>70</v>
      </c>
      <c r="E53" s="92"/>
      <c r="F53" s="90" t="s">
        <v>70</v>
      </c>
      <c r="G53" s="94"/>
      <c r="H53" s="90" t="s">
        <v>70</v>
      </c>
      <c r="I53" s="78"/>
      <c r="J53" s="79"/>
      <c r="K53" s="109"/>
      <c r="L53" s="108"/>
      <c r="M53" s="95"/>
      <c r="N53" s="160" t="s">
        <v>69</v>
      </c>
      <c r="O53" s="90" t="s">
        <v>38</v>
      </c>
      <c r="P53" s="92"/>
      <c r="Q53" s="90" t="s">
        <v>70</v>
      </c>
      <c r="R53" s="92"/>
      <c r="S53" s="90" t="s">
        <v>70</v>
      </c>
      <c r="T53" s="94"/>
      <c r="U53" s="90" t="s">
        <v>70</v>
      </c>
      <c r="V53" s="78"/>
      <c r="W53" s="79"/>
      <c r="X53" s="109"/>
      <c r="Y53" s="108"/>
      <c r="Z53" s="95"/>
      <c r="AA53" s="160" t="s">
        <v>69</v>
      </c>
      <c r="AB53" s="90" t="s">
        <v>38</v>
      </c>
      <c r="AC53" s="92"/>
      <c r="AD53" s="90" t="s">
        <v>70</v>
      </c>
      <c r="AE53" s="92"/>
      <c r="AF53" s="90" t="s">
        <v>70</v>
      </c>
      <c r="AG53" s="94"/>
      <c r="AH53" s="90" t="s">
        <v>70</v>
      </c>
      <c r="AI53" s="78"/>
      <c r="AJ53" s="79"/>
      <c r="AK53" s="109"/>
      <c r="AL53" s="108"/>
      <c r="AM53" s="31"/>
      <c r="AN53" s="130" t="s">
        <v>115</v>
      </c>
      <c r="AO53" s="168">
        <f>IF(('Initial Inputs'!$F$8="kg"),MROUND(($E$7*0.98),2.5),MROUND(($E$7*0.98),5))</f>
        <v>410</v>
      </c>
      <c r="AP53" s="168">
        <f>IF(('Initial Inputs'!$F$8="kg"),MROUND(($E$7*1),2.5),MROUND(($E$7*1),5))</f>
        <v>420</v>
      </c>
      <c r="AQ53" s="168">
        <f>IF(('Initial Inputs'!$F$8="kg"),MROUND(($E$7*1.015),2.5),MROUND(($E$7*1.015),5))</f>
        <v>425</v>
      </c>
      <c r="AR53" s="168">
        <f>IF(('Initial Inputs'!$F$8="kg"),MROUND(($E$7*1.025),2.5),MROUND(($E$7*1.025),5))</f>
        <v>430</v>
      </c>
      <c r="AS53" s="169"/>
      <c r="AT53" s="113"/>
      <c r="AU53" s="112"/>
      <c r="AV53" s="113"/>
      <c r="AW53" s="112"/>
      <c r="AX53" s="113"/>
      <c r="AY53" s="112"/>
    </row>
    <row r="54" ht="15.75" customHeight="1">
      <c r="A54" s="154" t="s">
        <v>71</v>
      </c>
      <c r="B54" s="90" t="s">
        <v>38</v>
      </c>
      <c r="C54" s="92"/>
      <c r="D54" s="90" t="s">
        <v>72</v>
      </c>
      <c r="E54" s="92"/>
      <c r="F54" s="90" t="s">
        <v>72</v>
      </c>
      <c r="G54" s="94"/>
      <c r="H54" s="90" t="s">
        <v>72</v>
      </c>
      <c r="I54" s="78"/>
      <c r="J54" s="79"/>
      <c r="K54" s="109"/>
      <c r="L54" s="108"/>
      <c r="M54" s="95"/>
      <c r="N54" s="160" t="s">
        <v>71</v>
      </c>
      <c r="O54" s="90" t="s">
        <v>38</v>
      </c>
      <c r="P54" s="92"/>
      <c r="Q54" s="90" t="s">
        <v>72</v>
      </c>
      <c r="R54" s="92"/>
      <c r="S54" s="90" t="s">
        <v>72</v>
      </c>
      <c r="T54" s="94"/>
      <c r="U54" s="90" t="s">
        <v>72</v>
      </c>
      <c r="V54" s="78"/>
      <c r="W54" s="79"/>
      <c r="X54" s="109"/>
      <c r="Y54" s="108"/>
      <c r="Z54" s="95"/>
      <c r="AA54" s="160" t="s">
        <v>71</v>
      </c>
      <c r="AB54" s="90" t="s">
        <v>38</v>
      </c>
      <c r="AC54" s="92"/>
      <c r="AD54" s="90" t="s">
        <v>72</v>
      </c>
      <c r="AE54" s="92"/>
      <c r="AF54" s="90" t="s">
        <v>72</v>
      </c>
      <c r="AG54" s="94"/>
      <c r="AH54" s="90" t="s">
        <v>72</v>
      </c>
      <c r="AI54" s="78"/>
      <c r="AJ54" s="79"/>
      <c r="AK54" s="109"/>
      <c r="AL54" s="108"/>
      <c r="AM54" s="31"/>
      <c r="AN54" s="123"/>
      <c r="AO54" s="4"/>
      <c r="AP54" s="4"/>
      <c r="AQ54" s="4"/>
      <c r="AR54" s="125"/>
      <c r="AS54" s="31"/>
      <c r="AT54" s="112"/>
      <c r="AU54" s="112"/>
      <c r="AV54" s="112"/>
      <c r="AW54" s="112"/>
      <c r="AX54" s="112"/>
      <c r="AY54" s="112"/>
    </row>
    <row r="55" ht="15.75" customHeight="1">
      <c r="A55" s="154" t="s">
        <v>53</v>
      </c>
      <c r="B55" s="90" t="s">
        <v>38</v>
      </c>
      <c r="C55" s="92"/>
      <c r="D55" s="90" t="s">
        <v>90</v>
      </c>
      <c r="E55" s="92"/>
      <c r="F55" s="90" t="s">
        <v>90</v>
      </c>
      <c r="G55" s="94"/>
      <c r="H55" s="90" t="s">
        <v>90</v>
      </c>
      <c r="I55" s="78"/>
      <c r="J55" s="79"/>
      <c r="K55" s="109"/>
      <c r="L55" s="108"/>
      <c r="M55" s="95"/>
      <c r="N55" s="160" t="s">
        <v>53</v>
      </c>
      <c r="O55" s="90" t="s">
        <v>38</v>
      </c>
      <c r="P55" s="92"/>
      <c r="Q55" s="90" t="s">
        <v>90</v>
      </c>
      <c r="R55" s="92"/>
      <c r="S55" s="90" t="s">
        <v>90</v>
      </c>
      <c r="T55" s="94"/>
      <c r="U55" s="90" t="s">
        <v>90</v>
      </c>
      <c r="V55" s="78"/>
      <c r="W55" s="79"/>
      <c r="X55" s="109"/>
      <c r="Y55" s="108"/>
      <c r="Z55" s="95"/>
      <c r="AA55" s="160" t="s">
        <v>53</v>
      </c>
      <c r="AB55" s="90" t="s">
        <v>38</v>
      </c>
      <c r="AC55" s="92"/>
      <c r="AD55" s="90" t="s">
        <v>90</v>
      </c>
      <c r="AE55" s="92"/>
      <c r="AF55" s="90" t="s">
        <v>90</v>
      </c>
      <c r="AG55" s="94"/>
      <c r="AH55" s="90" t="s">
        <v>90</v>
      </c>
      <c r="AI55" s="78"/>
      <c r="AJ55" s="79"/>
      <c r="AK55" s="109"/>
      <c r="AL55" s="108"/>
      <c r="AM55" s="31"/>
      <c r="AN55" s="134" t="s">
        <v>180</v>
      </c>
      <c r="AO55" s="4"/>
      <c r="AP55" s="4"/>
      <c r="AQ55" s="4"/>
      <c r="AR55" s="125"/>
      <c r="AT55" s="112"/>
      <c r="AU55" s="112"/>
      <c r="AV55" s="112"/>
      <c r="AW55" s="112"/>
      <c r="AX55" s="112"/>
      <c r="AY55" s="112"/>
    </row>
    <row r="56" ht="15.75" customHeight="1">
      <c r="A56" s="157" t="s">
        <v>73</v>
      </c>
      <c r="B56" s="101" t="s">
        <v>38</v>
      </c>
      <c r="C56" s="102"/>
      <c r="D56" s="101" t="s">
        <v>97</v>
      </c>
      <c r="E56" s="102"/>
      <c r="F56" s="84" t="s">
        <v>98</v>
      </c>
      <c r="G56" s="103"/>
      <c r="H56" s="84" t="s">
        <v>98</v>
      </c>
      <c r="I56" s="103"/>
      <c r="J56" s="84" t="s">
        <v>98</v>
      </c>
      <c r="K56" s="85"/>
      <c r="L56" s="86"/>
      <c r="M56" s="95"/>
      <c r="N56" s="164" t="s">
        <v>73</v>
      </c>
      <c r="O56" s="101" t="s">
        <v>38</v>
      </c>
      <c r="P56" s="102"/>
      <c r="Q56" s="101" t="s">
        <v>97</v>
      </c>
      <c r="R56" s="102"/>
      <c r="S56" s="84" t="s">
        <v>98</v>
      </c>
      <c r="T56" s="103"/>
      <c r="U56" s="84" t="s">
        <v>98</v>
      </c>
      <c r="V56" s="103"/>
      <c r="W56" s="84" t="s">
        <v>98</v>
      </c>
      <c r="X56" s="85"/>
      <c r="Y56" s="86"/>
      <c r="Z56" s="95"/>
      <c r="AA56" s="164" t="s">
        <v>73</v>
      </c>
      <c r="AB56" s="101" t="s">
        <v>38</v>
      </c>
      <c r="AC56" s="102"/>
      <c r="AD56" s="101" t="s">
        <v>97</v>
      </c>
      <c r="AE56" s="102"/>
      <c r="AF56" s="84" t="s">
        <v>98</v>
      </c>
      <c r="AG56" s="103"/>
      <c r="AH56" s="84" t="s">
        <v>98</v>
      </c>
      <c r="AI56" s="103"/>
      <c r="AJ56" s="84" t="s">
        <v>98</v>
      </c>
      <c r="AK56" s="85"/>
      <c r="AL56" s="86"/>
      <c r="AM56" s="31"/>
      <c r="AN56" s="134" t="s">
        <v>181</v>
      </c>
      <c r="AO56" s="4"/>
      <c r="AP56" s="4"/>
      <c r="AQ56" s="4"/>
      <c r="AR56" s="125"/>
      <c r="AT56" s="112"/>
      <c r="AU56" s="112"/>
      <c r="AV56" s="112"/>
      <c r="AW56" s="112"/>
      <c r="AX56" s="112"/>
      <c r="AY56" s="112"/>
    </row>
    <row r="57" ht="15.75" customHeight="1">
      <c r="AN57" s="134"/>
      <c r="AO57" s="4"/>
      <c r="AP57" s="4"/>
      <c r="AQ57" s="4"/>
      <c r="AR57" s="125"/>
      <c r="AT57" s="112"/>
      <c r="AU57" s="112"/>
      <c r="AV57" s="112"/>
      <c r="AW57" s="112"/>
      <c r="AX57" s="112"/>
      <c r="AY57" s="112"/>
    </row>
    <row r="58" ht="15.75" customHeight="1">
      <c r="A58" s="115" t="s">
        <v>182</v>
      </c>
      <c r="N58" s="115" t="s">
        <v>183</v>
      </c>
      <c r="AA58" s="115" t="s">
        <v>184</v>
      </c>
      <c r="AN58" s="135" t="s">
        <v>185</v>
      </c>
      <c r="AO58" s="124"/>
      <c r="AP58" s="136"/>
      <c r="AQ58" s="124"/>
      <c r="AR58" s="137"/>
      <c r="AS58" s="112"/>
      <c r="AT58" s="112"/>
      <c r="AU58" s="112"/>
      <c r="AV58" s="112"/>
      <c r="AW58" s="112"/>
      <c r="AX58" s="112"/>
      <c r="AY58" s="112"/>
    </row>
    <row r="59" ht="15.75" customHeight="1">
      <c r="AN59" s="138" t="s">
        <v>186</v>
      </c>
      <c r="AO59" s="139"/>
      <c r="AP59" s="140"/>
      <c r="AQ59" s="139"/>
      <c r="AR59" s="141"/>
      <c r="AS59" s="112"/>
      <c r="AT59" s="112"/>
      <c r="AU59" s="112"/>
      <c r="AV59" s="112"/>
      <c r="AW59" s="112"/>
      <c r="AX59" s="112"/>
      <c r="AY59" s="112"/>
    </row>
    <row r="60" ht="15.75" customHeight="1"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</row>
    <row r="61" ht="15.75" customHeight="1">
      <c r="N61" s="117"/>
      <c r="O61" s="118" t="s">
        <v>187</v>
      </c>
      <c r="P61" s="119"/>
      <c r="Q61" s="119"/>
      <c r="R61" s="119"/>
      <c r="S61" s="120"/>
      <c r="T61" s="121"/>
      <c r="U61" s="121"/>
      <c r="AA61" s="117"/>
      <c r="AB61" s="118" t="s">
        <v>188</v>
      </c>
      <c r="AC61" s="119"/>
      <c r="AD61" s="119"/>
      <c r="AE61" s="119"/>
      <c r="AF61" s="120"/>
      <c r="AN61" s="115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</row>
    <row r="62" ht="15.75" customHeight="1">
      <c r="N62" s="123"/>
      <c r="O62" s="124"/>
      <c r="P62" s="4"/>
      <c r="Q62" s="4"/>
      <c r="R62" s="4"/>
      <c r="S62" s="125"/>
      <c r="AA62" s="123"/>
      <c r="AB62" s="124"/>
      <c r="AC62" s="4"/>
      <c r="AD62" s="4"/>
      <c r="AE62" s="4"/>
      <c r="AF62" s="125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</row>
    <row r="63" ht="15.75" customHeight="1">
      <c r="N63" s="126" t="s">
        <v>102</v>
      </c>
      <c r="O63" s="127" t="s">
        <v>129</v>
      </c>
      <c r="P63" s="127" t="s">
        <v>130</v>
      </c>
      <c r="Q63" s="127" t="s">
        <v>104</v>
      </c>
      <c r="R63" s="127" t="s">
        <v>131</v>
      </c>
      <c r="S63" s="142" t="s">
        <v>132</v>
      </c>
      <c r="AA63" s="126" t="s">
        <v>102</v>
      </c>
      <c r="AB63" s="127" t="s">
        <v>129</v>
      </c>
      <c r="AC63" s="127" t="s">
        <v>130</v>
      </c>
      <c r="AD63" s="127" t="s">
        <v>104</v>
      </c>
      <c r="AE63" s="127" t="s">
        <v>131</v>
      </c>
      <c r="AF63" s="142" t="s">
        <v>132</v>
      </c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</row>
    <row r="64" ht="22.5" customHeight="1">
      <c r="N64" s="130" t="s">
        <v>106</v>
      </c>
      <c r="O64" s="168">
        <f>IF(('Initial Inputs'!$F$8="kg"),MROUND(($E$5*0.97),2.5),MROUND(($E$5*0.97),5))</f>
        <v>310</v>
      </c>
      <c r="P64" s="168">
        <f>IF(('Initial Inputs'!$F$8="kg"),MROUND(($E$5*1),2.5),MROUND(($E$5*1),5))</f>
        <v>320</v>
      </c>
      <c r="Q64" s="168">
        <f>IF(('Initial Inputs'!$F$8="kg"),MROUND(($E$5*1.015),2.5),MROUND(($E$5*1.015),5))</f>
        <v>325</v>
      </c>
      <c r="R64" s="168">
        <f>IF(('Initial Inputs'!$F$8="kg"),MROUND(($E$5*1.03),2.5),MROUND(($E$5*1.03),5))</f>
        <v>330</v>
      </c>
      <c r="S64" s="168">
        <f>IF(('Initial Inputs'!$F$8="kg"),MROUND(($E$5*1.04),2.5),MROUND(($E$5*1.04),5))</f>
        <v>335</v>
      </c>
      <c r="AA64" s="130" t="s">
        <v>106</v>
      </c>
      <c r="AB64" s="168">
        <f>IF(('Initial Inputs'!$F$8="kg"),MROUND(($AE$5/1.03),2.5),MROUND(($AE$5/1.03),5))</f>
        <v>315</v>
      </c>
      <c r="AC64" s="168">
        <f>IF(('Initial Inputs'!$F$8="kg"),MROUND(($AE$5*1),2.5),MROUND(($AE$5*1),5))</f>
        <v>325</v>
      </c>
      <c r="AD64" s="168">
        <f>IF(('Initial Inputs'!$F$8="kg"),MROUND(($AE$5*1.015),2.5),MROUND(($AE$5*1.015),5))</f>
        <v>330</v>
      </c>
      <c r="AE64" s="168">
        <f>IF(('Initial Inputs'!$F$8="kg"),MROUND(($AE$5*1.03),2.5),MROUND(($AE$5*1.03),5))</f>
        <v>335</v>
      </c>
      <c r="AF64" s="168">
        <f>IF(('Initial Inputs'!$F$8="kg"),MROUND(($AE$5*1.045),2.5),MROUND(($AE$5*1.045),5))</f>
        <v>340</v>
      </c>
    </row>
    <row r="65" ht="15.75" customHeight="1">
      <c r="N65" s="123"/>
      <c r="O65" s="4"/>
      <c r="P65" s="4"/>
      <c r="Q65" s="4"/>
      <c r="R65" s="4"/>
      <c r="S65" s="125"/>
      <c r="AA65" s="123"/>
      <c r="AB65" s="4"/>
      <c r="AC65" s="4"/>
      <c r="AD65" s="4"/>
      <c r="AE65" s="4"/>
      <c r="AF65" s="125"/>
    </row>
    <row r="66" ht="15.75" customHeight="1">
      <c r="N66" s="126" t="s">
        <v>102</v>
      </c>
      <c r="O66" s="127" t="s">
        <v>129</v>
      </c>
      <c r="P66" s="127" t="s">
        <v>130</v>
      </c>
      <c r="Q66" s="127" t="s">
        <v>104</v>
      </c>
      <c r="R66" s="127" t="s">
        <v>131</v>
      </c>
      <c r="S66" s="142" t="s">
        <v>132</v>
      </c>
      <c r="AA66" s="126" t="s">
        <v>102</v>
      </c>
      <c r="AB66" s="127" t="s">
        <v>129</v>
      </c>
      <c r="AC66" s="127" t="s">
        <v>130</v>
      </c>
      <c r="AD66" s="127" t="s">
        <v>104</v>
      </c>
      <c r="AE66" s="127" t="s">
        <v>131</v>
      </c>
      <c r="AF66" s="142" t="s">
        <v>132</v>
      </c>
    </row>
    <row r="67" ht="22.5" customHeight="1">
      <c r="N67" s="130" t="s">
        <v>112</v>
      </c>
      <c r="O67" s="168">
        <f>IF(('Initial Inputs'!$F$8="kg"),MROUND(($E$6*0.97),2.5),MROUND(($E$6*0.97),5))</f>
        <v>250</v>
      </c>
      <c r="P67" s="168">
        <f>IF(('Initial Inputs'!$F$8="kg"),MROUND(($E$6*1),2.5),MROUND(($E$6*1),5))</f>
        <v>260</v>
      </c>
      <c r="Q67" s="168">
        <f>IF(('Initial Inputs'!$F$8="kg"),MROUND(($E$6*1.015),2.5),MROUND(($E$6*1.015),5))</f>
        <v>265</v>
      </c>
      <c r="R67" s="168">
        <f>IF(('Initial Inputs'!$F$8="kg"),MROUND(($E$6*1.03),2.5),MROUND(($E$6*1.03),5))</f>
        <v>270</v>
      </c>
      <c r="S67" s="168">
        <f>IF(('Initial Inputs'!$F$8="kg"),MROUND(($E$6*1.04),2.5),MROUND(($E$6*1.04),5))</f>
        <v>270</v>
      </c>
      <c r="AA67" s="130" t="s">
        <v>112</v>
      </c>
      <c r="AB67" s="168">
        <f>IF(('Initial Inputs'!$F$8="kg"),MROUND(($AE$6/1.03),2.5),MROUND(($AE$6/1.03),5))</f>
        <v>235</v>
      </c>
      <c r="AC67" s="168">
        <f>IF(('Initial Inputs'!$F$8="kg"),MROUND(($AE$6*1),2.5),MROUND(($AE$6*1),5))</f>
        <v>240</v>
      </c>
      <c r="AD67" s="168">
        <f>IF(('Initial Inputs'!$F$8="kg"),MROUND(($AE$6*1.015),2.5),MROUND(($AE$6*1.015),5))</f>
        <v>245</v>
      </c>
      <c r="AE67" s="168">
        <f>IF(('Initial Inputs'!$F$8="kg"),MROUND(($AE$6*1.03),2.5),MROUND(($AE$6*1.03),5))</f>
        <v>245</v>
      </c>
      <c r="AF67" s="168">
        <f>IF(('Initial Inputs'!$F$8="kg"),MROUND(($AE$6*1.04),2.5),MROUND(($AE$6*1.04),5))</f>
        <v>250</v>
      </c>
    </row>
    <row r="68" ht="15.75" customHeight="1">
      <c r="N68" s="123"/>
      <c r="O68" s="4"/>
      <c r="P68" s="4"/>
      <c r="Q68" s="4"/>
      <c r="R68" s="4"/>
      <c r="S68" s="125"/>
      <c r="AA68" s="123"/>
      <c r="AB68" s="4"/>
      <c r="AC68" s="4"/>
      <c r="AD68" s="4"/>
      <c r="AE68" s="4"/>
      <c r="AF68" s="125"/>
    </row>
    <row r="69" ht="15.75" customHeight="1">
      <c r="N69" s="126" t="s">
        <v>102</v>
      </c>
      <c r="O69" s="127" t="s">
        <v>174</v>
      </c>
      <c r="P69" s="127" t="s">
        <v>175</v>
      </c>
      <c r="Q69" s="127" t="s">
        <v>125</v>
      </c>
      <c r="R69" s="127" t="s">
        <v>126</v>
      </c>
      <c r="S69" s="142" t="s">
        <v>189</v>
      </c>
      <c r="AA69" s="126" t="s">
        <v>102</v>
      </c>
      <c r="AB69" s="127" t="s">
        <v>174</v>
      </c>
      <c r="AC69" s="127" t="s">
        <v>175</v>
      </c>
      <c r="AD69" s="127" t="s">
        <v>125</v>
      </c>
      <c r="AE69" s="127" t="s">
        <v>126</v>
      </c>
      <c r="AF69" s="142" t="s">
        <v>189</v>
      </c>
    </row>
    <row r="70" ht="22.5" customHeight="1">
      <c r="N70" s="130" t="s">
        <v>115</v>
      </c>
      <c r="O70" s="168">
        <f>IF(('Initial Inputs'!$F$8="kg"),MROUND(($E$7*0.97),2.5),MROUND(($E$7*0.97),5))</f>
        <v>405</v>
      </c>
      <c r="P70" s="168">
        <f>IF(('Initial Inputs'!$F$8="kg"),MROUND(($E$7*1),2.5),MROUND(($E$7*1),5))</f>
        <v>420</v>
      </c>
      <c r="Q70" s="168">
        <f>IF(('Initial Inputs'!$F$8="kg"),MROUND(($E$7*1.015),2.5),MROUND(($E$7*1.015),5))</f>
        <v>425</v>
      </c>
      <c r="R70" s="168">
        <f>IF(('Initial Inputs'!$F$8="kg"),MROUND(($E$7*1.03),2.5),MROUND(($E$7*1.03),5))</f>
        <v>435</v>
      </c>
      <c r="S70" s="168">
        <f>IF(('Initial Inputs'!$F$8="kg"),MROUND(($E$7*1.04),2.5),MROUND(($E$7*1.04),5))</f>
        <v>435</v>
      </c>
      <c r="AA70" s="130" t="s">
        <v>115</v>
      </c>
      <c r="AB70" s="168">
        <f>IF(('Initial Inputs'!$F$8="kg"),MROUND(($AE$7/1.03),2.5),MROUND(($AE$7/1.03),5))</f>
        <v>410</v>
      </c>
      <c r="AC70" s="168">
        <f>IF(('Initial Inputs'!$F$8="kg"),MROUND(($AE$7*1),2.5),MROUND(($AE$7*1),5))</f>
        <v>420</v>
      </c>
      <c r="AD70" s="168">
        <f>IF(('Initial Inputs'!$F$8="kg"),MROUND(($AE$7*1.015),2.5),MROUND(($AE$7*1.015),5))</f>
        <v>425</v>
      </c>
      <c r="AE70" s="168">
        <f>IF(('Initial Inputs'!$F$8="kg"),MROUND(($AE$7*1.03),2.5),MROUND(($AE$7*1.03),5))</f>
        <v>435</v>
      </c>
      <c r="AF70" s="168">
        <f>IF(('Initial Inputs'!$F$8="kg"),MROUND(($AE$7*1.04),2.5),MROUND(($AE$7*1.04),5))</f>
        <v>435</v>
      </c>
    </row>
    <row r="71" ht="15.75" customHeight="1">
      <c r="N71" s="123"/>
      <c r="O71" s="4"/>
      <c r="P71" s="4"/>
      <c r="Q71" s="4"/>
      <c r="R71" s="4"/>
      <c r="S71" s="125"/>
      <c r="AA71" s="123"/>
      <c r="AB71" s="4"/>
      <c r="AC71" s="4"/>
      <c r="AD71" s="4"/>
      <c r="AE71" s="4"/>
      <c r="AF71" s="125"/>
    </row>
    <row r="72" ht="15.75" customHeight="1">
      <c r="N72" s="134" t="s">
        <v>133</v>
      </c>
      <c r="O72" s="4"/>
      <c r="P72" s="4"/>
      <c r="Q72" s="4"/>
      <c r="R72" s="4"/>
      <c r="S72" s="125"/>
      <c r="AA72" s="134" t="s">
        <v>133</v>
      </c>
      <c r="AB72" s="4"/>
      <c r="AC72" s="4"/>
      <c r="AD72" s="4"/>
      <c r="AE72" s="4"/>
      <c r="AF72" s="125"/>
    </row>
    <row r="73" ht="15.75" customHeight="1">
      <c r="N73" s="134" t="s">
        <v>190</v>
      </c>
      <c r="O73" s="4"/>
      <c r="P73" s="4"/>
      <c r="Q73" s="4"/>
      <c r="R73" s="4"/>
      <c r="S73" s="125"/>
      <c r="AA73" s="134" t="s">
        <v>191</v>
      </c>
      <c r="AB73" s="4"/>
      <c r="AC73" s="4"/>
      <c r="AD73" s="4"/>
      <c r="AE73" s="4"/>
      <c r="AF73" s="125"/>
    </row>
    <row r="74" ht="15.75" customHeight="1">
      <c r="N74" s="28" t="s">
        <v>136</v>
      </c>
      <c r="O74" s="29"/>
      <c r="P74" s="29"/>
      <c r="Q74" s="29"/>
      <c r="R74" s="29"/>
      <c r="S74" s="30"/>
      <c r="AA74" s="28" t="s">
        <v>136</v>
      </c>
      <c r="AB74" s="29"/>
      <c r="AC74" s="29"/>
      <c r="AD74" s="29"/>
      <c r="AE74" s="29"/>
      <c r="AF74" s="3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G5:AL5"/>
    <mergeCell ref="AG6:AL6"/>
    <mergeCell ref="AO44:AR44"/>
    <mergeCell ref="O61:S61"/>
    <mergeCell ref="AB61:AF61"/>
    <mergeCell ref="W2:AA2"/>
    <mergeCell ref="C4:E4"/>
    <mergeCell ref="AC4:AE4"/>
    <mergeCell ref="AP4:AR4"/>
    <mergeCell ref="G5:L5"/>
    <mergeCell ref="AT5:AY5"/>
    <mergeCell ref="G6:L6"/>
    <mergeCell ref="AT6:AY6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10.29"/>
    <col customWidth="1" min="3" max="3" width="11.43"/>
    <col customWidth="1" min="4" max="4" width="7.86"/>
    <col customWidth="1" min="5" max="5" width="10.71"/>
    <col customWidth="1" min="6" max="6" width="7.86"/>
    <col customWidth="1" min="7" max="7" width="8.86"/>
    <col customWidth="1" min="8" max="8" width="7.86"/>
    <col customWidth="1" min="9" max="9" width="8.86"/>
    <col customWidth="1" min="10" max="10" width="7.43"/>
    <col customWidth="1" min="11" max="11" width="6.43"/>
    <col customWidth="1" min="12" max="12" width="9.29"/>
    <col customWidth="1" min="13" max="13" width="9.14"/>
    <col customWidth="1" min="14" max="14" width="48.0"/>
    <col customWidth="1" min="15" max="15" width="9.43"/>
    <col customWidth="1" min="16" max="16" width="11.43"/>
    <col customWidth="1" min="17" max="18" width="8.86"/>
    <col customWidth="1" min="19" max="19" width="8.43"/>
    <col customWidth="1" min="20" max="20" width="8.86"/>
    <col customWidth="1" min="21" max="21" width="7.86"/>
    <col customWidth="1" min="22" max="22" width="8.86"/>
    <col customWidth="1" min="23" max="23" width="8.71"/>
    <col customWidth="1" min="24" max="24" width="8.86"/>
    <col customWidth="1" min="25" max="25" width="8.71"/>
    <col customWidth="1" min="26" max="26" width="8.86"/>
    <col customWidth="1" min="27" max="27" width="48.0"/>
    <col customWidth="1" min="28" max="28" width="9.71"/>
    <col customWidth="1" min="29" max="29" width="11.43"/>
    <col customWidth="1" min="30" max="30" width="8.86"/>
    <col customWidth="1" min="31" max="31" width="10.71"/>
    <col customWidth="1" min="32" max="32" width="8.43"/>
    <col customWidth="1" min="33" max="33" width="8.86"/>
    <col customWidth="1" min="34" max="34" width="7.86"/>
    <col customWidth="1" min="35" max="35" width="8.86"/>
    <col customWidth="1" min="36" max="36" width="7.43"/>
    <col customWidth="1" min="37" max="37" width="8.86"/>
    <col customWidth="1" min="38" max="38" width="8.71"/>
    <col customWidth="1" min="39" max="39" width="8.86"/>
    <col customWidth="1" min="40" max="40" width="48.0"/>
    <col customWidth="1" min="41" max="41" width="9.43"/>
    <col customWidth="1" min="42" max="42" width="11.43"/>
    <col customWidth="1" min="43" max="43" width="8.86"/>
    <col customWidth="1" min="44" max="44" width="10.71"/>
    <col customWidth="1" min="45" max="45" width="7.86"/>
    <col customWidth="1" min="46" max="46" width="8.86"/>
    <col customWidth="1" min="47" max="47" width="8.71"/>
    <col customWidth="1" min="48" max="48" width="8.86"/>
    <col customWidth="1" min="49" max="49" width="10.29"/>
    <col customWidth="1" min="50" max="50" width="8.86"/>
    <col customWidth="1" min="51" max="51" width="5.86"/>
    <col customWidth="1" min="52" max="52" width="8.86"/>
    <col customWidth="1" min="53" max="53" width="8.71"/>
  </cols>
  <sheetData>
    <row r="1" ht="17.25" customHeight="1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171"/>
      <c r="X1" s="172"/>
      <c r="Y1" s="173"/>
      <c r="Z1" s="173"/>
      <c r="AA1" s="174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1"/>
      <c r="BA1" s="31"/>
    </row>
    <row r="2" ht="33.75" customHeight="1">
      <c r="A2" s="37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175" t="s">
        <v>192</v>
      </c>
      <c r="X2" s="39"/>
      <c r="Y2" s="39"/>
      <c r="Z2" s="39"/>
      <c r="AA2" s="40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1"/>
      <c r="BA2" s="31"/>
    </row>
    <row r="3" ht="33.75" customHeight="1">
      <c r="A3" s="37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41"/>
      <c r="X3" s="41"/>
      <c r="Y3" s="41"/>
      <c r="Z3" s="41"/>
      <c r="AA3" s="4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1"/>
      <c r="BA3" s="31"/>
    </row>
    <row r="4" ht="17.25" customHeight="1">
      <c r="A4" s="37"/>
      <c r="B4" s="32"/>
      <c r="C4" s="42" t="s">
        <v>17</v>
      </c>
      <c r="D4" s="2"/>
      <c r="E4" s="3"/>
      <c r="F4" s="31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41"/>
      <c r="X4" s="41"/>
      <c r="Y4" s="41"/>
      <c r="Z4" s="41"/>
      <c r="AA4" s="41"/>
      <c r="AB4" s="32"/>
      <c r="AC4" s="42" t="s">
        <v>17</v>
      </c>
      <c r="AD4" s="2"/>
      <c r="AE4" s="3"/>
      <c r="AF4" s="31"/>
      <c r="AG4" s="32"/>
      <c r="AH4" s="32"/>
      <c r="AI4" s="32"/>
      <c r="AJ4" s="32"/>
      <c r="AK4" s="32"/>
      <c r="AL4" s="32"/>
      <c r="AM4" s="32"/>
      <c r="AN4" s="32"/>
      <c r="AO4" s="32"/>
      <c r="AP4" s="42" t="s">
        <v>17</v>
      </c>
      <c r="AQ4" s="2"/>
      <c r="AR4" s="3"/>
      <c r="AS4" s="31"/>
      <c r="AT4" s="32"/>
      <c r="AU4" s="32"/>
      <c r="AV4" s="32"/>
      <c r="AW4" s="32"/>
      <c r="AX4" s="32"/>
      <c r="AY4" s="32"/>
      <c r="AZ4" s="31"/>
      <c r="BA4" s="31"/>
    </row>
    <row r="5" ht="24.0" customHeight="1">
      <c r="A5" s="37"/>
      <c r="B5" s="32"/>
      <c r="C5" s="43" t="s">
        <v>18</v>
      </c>
      <c r="D5" s="44"/>
      <c r="E5" s="148">
        <v>340.0</v>
      </c>
      <c r="F5" s="32"/>
      <c r="G5" s="46" t="s">
        <v>193</v>
      </c>
      <c r="H5" s="47"/>
      <c r="I5" s="47"/>
      <c r="J5" s="47"/>
      <c r="K5" s="47"/>
      <c r="L5" s="48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1"/>
      <c r="AC5" s="43" t="s">
        <v>18</v>
      </c>
      <c r="AD5" s="44"/>
      <c r="AE5" s="148">
        <v>430.0</v>
      </c>
      <c r="AF5" s="32"/>
      <c r="AG5" s="46" t="s">
        <v>194</v>
      </c>
      <c r="AH5" s="47"/>
      <c r="AI5" s="47"/>
      <c r="AJ5" s="47"/>
      <c r="AK5" s="47"/>
      <c r="AL5" s="48"/>
      <c r="AM5" s="32"/>
      <c r="AN5" s="32"/>
      <c r="AO5" s="32"/>
      <c r="AP5" s="43" t="s">
        <v>18</v>
      </c>
      <c r="AQ5" s="44"/>
      <c r="AR5" s="148">
        <v>445.0</v>
      </c>
      <c r="AS5" s="32"/>
      <c r="AT5" s="46" t="s">
        <v>195</v>
      </c>
      <c r="AU5" s="47"/>
      <c r="AV5" s="47"/>
      <c r="AW5" s="47"/>
      <c r="AX5" s="47"/>
      <c r="AY5" s="48"/>
      <c r="AZ5" s="31"/>
      <c r="BA5" s="31"/>
    </row>
    <row r="6" ht="24.0" customHeight="1">
      <c r="C6" s="49" t="s">
        <v>21</v>
      </c>
      <c r="D6" s="50"/>
      <c r="E6" s="149">
        <v>265.0</v>
      </c>
      <c r="F6" s="52"/>
      <c r="G6" s="53" t="s">
        <v>196</v>
      </c>
      <c r="H6" s="54"/>
      <c r="I6" s="54"/>
      <c r="J6" s="54"/>
      <c r="K6" s="54"/>
      <c r="L6" s="55"/>
      <c r="AC6" s="49" t="s">
        <v>21</v>
      </c>
      <c r="AD6" s="50"/>
      <c r="AE6" s="149">
        <v>315.0</v>
      </c>
      <c r="AF6" s="52"/>
      <c r="AG6" s="53" t="s">
        <v>197</v>
      </c>
      <c r="AH6" s="54"/>
      <c r="AI6" s="54"/>
      <c r="AJ6" s="54"/>
      <c r="AK6" s="54"/>
      <c r="AL6" s="55"/>
      <c r="AP6" s="49" t="s">
        <v>21</v>
      </c>
      <c r="AQ6" s="50"/>
      <c r="AR6" s="149">
        <v>300.0</v>
      </c>
      <c r="AS6" s="52"/>
      <c r="AT6" s="53" t="s">
        <v>198</v>
      </c>
      <c r="AU6" s="54"/>
      <c r="AV6" s="54"/>
      <c r="AW6" s="54"/>
      <c r="AX6" s="54"/>
      <c r="AY6" s="55"/>
    </row>
    <row r="7" ht="23.25" customHeight="1">
      <c r="A7" s="56" t="s">
        <v>199</v>
      </c>
      <c r="B7" s="31"/>
      <c r="C7" s="57" t="s">
        <v>27</v>
      </c>
      <c r="D7" s="58"/>
      <c r="E7" s="150">
        <v>430.0</v>
      </c>
      <c r="F7" s="31"/>
      <c r="N7" s="56" t="s">
        <v>200</v>
      </c>
      <c r="O7" s="31"/>
      <c r="AA7" s="56" t="s">
        <v>201</v>
      </c>
      <c r="AC7" s="57" t="s">
        <v>27</v>
      </c>
      <c r="AD7" s="58"/>
      <c r="AE7" s="150">
        <v>480.0</v>
      </c>
      <c r="AF7" s="31"/>
      <c r="AN7" s="56" t="s">
        <v>202</v>
      </c>
      <c r="AO7" s="31"/>
      <c r="AP7" s="57" t="s">
        <v>27</v>
      </c>
      <c r="AQ7" s="58"/>
      <c r="AR7" s="150">
        <v>445.0</v>
      </c>
      <c r="AS7" s="31"/>
    </row>
    <row r="9">
      <c r="A9" s="61" t="s">
        <v>203</v>
      </c>
      <c r="C9" s="64" t="s">
        <v>30</v>
      </c>
      <c r="D9" s="65"/>
      <c r="E9" s="64" t="s">
        <v>31</v>
      </c>
      <c r="F9" s="65"/>
      <c r="G9" s="64" t="s">
        <v>32</v>
      </c>
      <c r="H9" s="65"/>
      <c r="I9" s="64" t="s">
        <v>33</v>
      </c>
      <c r="J9" s="65"/>
      <c r="K9" s="64" t="s">
        <v>34</v>
      </c>
      <c r="L9" s="63"/>
      <c r="N9" s="61" t="s">
        <v>204</v>
      </c>
      <c r="P9" s="64" t="s">
        <v>30</v>
      </c>
      <c r="Q9" s="65"/>
      <c r="R9" s="64" t="s">
        <v>31</v>
      </c>
      <c r="S9" s="65"/>
      <c r="T9" s="64" t="s">
        <v>32</v>
      </c>
      <c r="U9" s="65"/>
      <c r="V9" s="64" t="s">
        <v>33</v>
      </c>
      <c r="W9" s="65"/>
      <c r="X9" s="64" t="s">
        <v>34</v>
      </c>
      <c r="Y9" s="65"/>
      <c r="AA9" s="61" t="s">
        <v>205</v>
      </c>
      <c r="AC9" s="64" t="s">
        <v>30</v>
      </c>
      <c r="AD9" s="65"/>
      <c r="AE9" s="64" t="s">
        <v>31</v>
      </c>
      <c r="AF9" s="65"/>
      <c r="AG9" s="64" t="s">
        <v>32</v>
      </c>
      <c r="AH9" s="65"/>
      <c r="AI9" s="64" t="s">
        <v>33</v>
      </c>
      <c r="AJ9" s="65"/>
      <c r="AK9" s="64" t="s">
        <v>34</v>
      </c>
      <c r="AL9" s="65"/>
      <c r="AN9" s="61" t="s">
        <v>206</v>
      </c>
      <c r="AP9" s="64" t="s">
        <v>30</v>
      </c>
      <c r="AQ9" s="65"/>
      <c r="AR9" s="64" t="s">
        <v>31</v>
      </c>
      <c r="AS9" s="65"/>
      <c r="AT9" s="64" t="s">
        <v>32</v>
      </c>
      <c r="AU9" s="65"/>
      <c r="AV9" s="64" t="s">
        <v>33</v>
      </c>
      <c r="AW9" s="65"/>
      <c r="AX9" s="64" t="s">
        <v>34</v>
      </c>
      <c r="AY9" s="65"/>
      <c r="AZ9" s="64" t="s">
        <v>207</v>
      </c>
      <c r="BA9" s="63"/>
    </row>
    <row r="10">
      <c r="A10" s="176" t="s">
        <v>7</v>
      </c>
      <c r="B10" s="88" t="s">
        <v>38</v>
      </c>
      <c r="C10" s="152">
        <f>IF(('Initial Inputs'!$F$8="kg"),MROUND(($E$5*0.775),2.5),MROUND(($E$5*0.775),5))</f>
        <v>265</v>
      </c>
      <c r="D10" s="69" t="s">
        <v>41</v>
      </c>
      <c r="E10" s="153">
        <f t="shared" ref="E10:H10" si="1">C10</f>
        <v>265</v>
      </c>
      <c r="F10" s="69" t="str">
        <f t="shared" si="1"/>
        <v>x7</v>
      </c>
      <c r="G10" s="153">
        <f t="shared" si="1"/>
        <v>265</v>
      </c>
      <c r="H10" s="69" t="str">
        <f t="shared" si="1"/>
        <v>x7</v>
      </c>
      <c r="I10" s="70"/>
      <c r="J10" s="71"/>
      <c r="K10" s="70"/>
      <c r="L10" s="71"/>
      <c r="N10" s="176" t="s">
        <v>7</v>
      </c>
      <c r="O10" s="67" t="s">
        <v>38</v>
      </c>
      <c r="P10" s="152">
        <f>IF(('Initial Inputs'!$F$8="kg"),MROUND(($E$5*0.775),2.5),MROUND(($E$5*0.775),5))</f>
        <v>265</v>
      </c>
      <c r="Q10" s="69" t="s">
        <v>41</v>
      </c>
      <c r="R10" s="153">
        <f t="shared" ref="R10:W10" si="2">P10</f>
        <v>265</v>
      </c>
      <c r="S10" s="69" t="str">
        <f t="shared" si="2"/>
        <v>x7</v>
      </c>
      <c r="T10" s="153">
        <f t="shared" si="2"/>
        <v>265</v>
      </c>
      <c r="U10" s="69" t="str">
        <f t="shared" si="2"/>
        <v>x7</v>
      </c>
      <c r="V10" s="153">
        <f t="shared" si="2"/>
        <v>265</v>
      </c>
      <c r="W10" s="69" t="str">
        <f t="shared" si="2"/>
        <v>x7</v>
      </c>
      <c r="X10" s="70"/>
      <c r="Y10" s="71"/>
      <c r="AA10" s="176" t="s">
        <v>7</v>
      </c>
      <c r="AB10" s="67" t="s">
        <v>38</v>
      </c>
      <c r="AC10" s="153">
        <f>IF(('Initial Inputs'!$F$8="kg"),MROUND(($AE$5*0.775),2.5),MROUND(($AE$5*0.775),5))</f>
        <v>335</v>
      </c>
      <c r="AD10" s="69" t="s">
        <v>41</v>
      </c>
      <c r="AE10" s="153">
        <f t="shared" ref="AE10:AL10" si="3">AC10</f>
        <v>335</v>
      </c>
      <c r="AF10" s="69" t="str">
        <f t="shared" si="3"/>
        <v>x7</v>
      </c>
      <c r="AG10" s="153">
        <f t="shared" si="3"/>
        <v>335</v>
      </c>
      <c r="AH10" s="69" t="str">
        <f t="shared" si="3"/>
        <v>x7</v>
      </c>
      <c r="AI10" s="153">
        <f t="shared" si="3"/>
        <v>335</v>
      </c>
      <c r="AJ10" s="69" t="str">
        <f t="shared" si="3"/>
        <v>x7</v>
      </c>
      <c r="AK10" s="153">
        <f t="shared" si="3"/>
        <v>335</v>
      </c>
      <c r="AL10" s="69" t="str">
        <f t="shared" si="3"/>
        <v>x7</v>
      </c>
      <c r="AN10" s="176" t="s">
        <v>7</v>
      </c>
      <c r="AO10" s="67" t="s">
        <v>38</v>
      </c>
      <c r="AP10" s="153">
        <f>IF(('Initial Inputs'!$F$8="kg"),MROUND(($AR$5*0.775),2.5),MROUND(($AR$5*0.775),5))</f>
        <v>345</v>
      </c>
      <c r="AQ10" s="69" t="s">
        <v>41</v>
      </c>
      <c r="AR10" s="153">
        <f t="shared" ref="AR10:BA10" si="4">AP10</f>
        <v>345</v>
      </c>
      <c r="AS10" s="69" t="str">
        <f t="shared" si="4"/>
        <v>x7</v>
      </c>
      <c r="AT10" s="153">
        <f t="shared" si="4"/>
        <v>345</v>
      </c>
      <c r="AU10" s="69" t="str">
        <f t="shared" si="4"/>
        <v>x7</v>
      </c>
      <c r="AV10" s="153">
        <f t="shared" si="4"/>
        <v>345</v>
      </c>
      <c r="AW10" s="69" t="str">
        <f t="shared" si="4"/>
        <v>x7</v>
      </c>
      <c r="AX10" s="153">
        <f t="shared" si="4"/>
        <v>345</v>
      </c>
      <c r="AY10" s="69" t="str">
        <f t="shared" si="4"/>
        <v>x7</v>
      </c>
      <c r="AZ10" s="177">
        <f t="shared" si="4"/>
        <v>345</v>
      </c>
      <c r="BA10" s="71" t="str">
        <f t="shared" si="4"/>
        <v>x7</v>
      </c>
    </row>
    <row r="11">
      <c r="A11" s="178" t="s">
        <v>8</v>
      </c>
      <c r="B11" s="90" t="s">
        <v>38</v>
      </c>
      <c r="C11" s="155">
        <f>IF(('Initial Inputs'!$F$8="kg"),MROUND(($E$6*0.775),2.5),MROUND(($E$6*0.775),5))</f>
        <v>205</v>
      </c>
      <c r="D11" s="76" t="s">
        <v>41</v>
      </c>
      <c r="E11" s="155">
        <f t="shared" ref="E11:H11" si="5">C11</f>
        <v>205</v>
      </c>
      <c r="F11" s="76" t="str">
        <f t="shared" si="5"/>
        <v>x7</v>
      </c>
      <c r="G11" s="155">
        <f t="shared" si="5"/>
        <v>205</v>
      </c>
      <c r="H11" s="76" t="str">
        <f t="shared" si="5"/>
        <v>x7</v>
      </c>
      <c r="I11" s="78"/>
      <c r="J11" s="79"/>
      <c r="K11" s="78"/>
      <c r="L11" s="79"/>
      <c r="N11" s="178" t="s">
        <v>8</v>
      </c>
      <c r="O11" s="74" t="s">
        <v>38</v>
      </c>
      <c r="P11" s="155">
        <f>IF(('Initial Inputs'!$F$8="kg"),MROUND(($E$6*0.775),2.5),MROUND(($E$6*0.775),5))</f>
        <v>205</v>
      </c>
      <c r="Q11" s="76" t="s">
        <v>41</v>
      </c>
      <c r="R11" s="155">
        <f t="shared" ref="R11:W11" si="6">P11</f>
        <v>205</v>
      </c>
      <c r="S11" s="76" t="str">
        <f t="shared" si="6"/>
        <v>x7</v>
      </c>
      <c r="T11" s="155">
        <f t="shared" si="6"/>
        <v>205</v>
      </c>
      <c r="U11" s="76" t="str">
        <f t="shared" si="6"/>
        <v>x7</v>
      </c>
      <c r="V11" s="155">
        <f t="shared" si="6"/>
        <v>205</v>
      </c>
      <c r="W11" s="76" t="str">
        <f t="shared" si="6"/>
        <v>x7</v>
      </c>
      <c r="X11" s="78"/>
      <c r="Y11" s="79"/>
      <c r="AA11" s="178" t="s">
        <v>8</v>
      </c>
      <c r="AB11" s="74" t="s">
        <v>38</v>
      </c>
      <c r="AC11" s="156">
        <f>IF(('Initial Inputs'!$F$8="kg"),MROUND(($AE$6*0.775),2.5),MROUND(($AE$6*0.775),5))</f>
        <v>245</v>
      </c>
      <c r="AD11" s="76" t="s">
        <v>41</v>
      </c>
      <c r="AE11" s="156">
        <f t="shared" ref="AE11:AL11" si="7">AC11</f>
        <v>245</v>
      </c>
      <c r="AF11" s="76" t="str">
        <f t="shared" si="7"/>
        <v>x7</v>
      </c>
      <c r="AG11" s="156">
        <f t="shared" si="7"/>
        <v>245</v>
      </c>
      <c r="AH11" s="76" t="str">
        <f t="shared" si="7"/>
        <v>x7</v>
      </c>
      <c r="AI11" s="156">
        <f t="shared" si="7"/>
        <v>245</v>
      </c>
      <c r="AJ11" s="76" t="str">
        <f t="shared" si="7"/>
        <v>x7</v>
      </c>
      <c r="AK11" s="156">
        <f t="shared" si="7"/>
        <v>245</v>
      </c>
      <c r="AL11" s="76" t="str">
        <f t="shared" si="7"/>
        <v>x7</v>
      </c>
      <c r="AN11" s="178" t="s">
        <v>8</v>
      </c>
      <c r="AO11" s="74" t="s">
        <v>38</v>
      </c>
      <c r="AP11" s="156">
        <f>IF(('Initial Inputs'!$F$8="kg"),MROUND(($AR$6*0.775),2.5),MROUND(($AR$6*0.775),5))</f>
        <v>235</v>
      </c>
      <c r="AQ11" s="80" t="s">
        <v>41</v>
      </c>
      <c r="AR11" s="156">
        <f t="shared" ref="AR11:BA11" si="8">AP11</f>
        <v>235</v>
      </c>
      <c r="AS11" s="80" t="str">
        <f t="shared" si="8"/>
        <v>x7</v>
      </c>
      <c r="AT11" s="156">
        <f t="shared" si="8"/>
        <v>235</v>
      </c>
      <c r="AU11" s="80" t="str">
        <f t="shared" si="8"/>
        <v>x7</v>
      </c>
      <c r="AV11" s="156">
        <f t="shared" si="8"/>
        <v>235</v>
      </c>
      <c r="AW11" s="80" t="str">
        <f t="shared" si="8"/>
        <v>x7</v>
      </c>
      <c r="AX11" s="156">
        <f t="shared" si="8"/>
        <v>235</v>
      </c>
      <c r="AY11" s="80" t="str">
        <f t="shared" si="8"/>
        <v>x7</v>
      </c>
      <c r="AZ11" s="179">
        <f t="shared" si="8"/>
        <v>235</v>
      </c>
      <c r="BA11" s="180" t="str">
        <f t="shared" si="8"/>
        <v>x7</v>
      </c>
    </row>
    <row r="12">
      <c r="A12" s="181" t="s">
        <v>9</v>
      </c>
      <c r="B12" s="101" t="s">
        <v>38</v>
      </c>
      <c r="C12" s="158">
        <f>IF(('Initial Inputs'!$F$8="kg"),MROUND(($E$7*0.775),2.5),MROUND(($E$7*0.775),5))</f>
        <v>335</v>
      </c>
      <c r="D12" s="101" t="s">
        <v>68</v>
      </c>
      <c r="E12" s="158">
        <f t="shared" ref="E12:H12" si="9">C12</f>
        <v>335</v>
      </c>
      <c r="F12" s="84" t="str">
        <f t="shared" si="9"/>
        <v>x5</v>
      </c>
      <c r="G12" s="158">
        <f t="shared" si="9"/>
        <v>335</v>
      </c>
      <c r="H12" s="84" t="str">
        <f t="shared" si="9"/>
        <v>x5</v>
      </c>
      <c r="I12" s="85"/>
      <c r="J12" s="86"/>
      <c r="K12" s="85"/>
      <c r="L12" s="86"/>
      <c r="N12" s="181" t="s">
        <v>9</v>
      </c>
      <c r="O12" s="82" t="s">
        <v>38</v>
      </c>
      <c r="P12" s="158">
        <f>IF(('Initial Inputs'!$F$8="kg"),MROUND(($E$7*0.775),2.5),MROUND(($E$7*0.775),5))</f>
        <v>335</v>
      </c>
      <c r="Q12" s="84" t="s">
        <v>68</v>
      </c>
      <c r="R12" s="158">
        <f t="shared" ref="R12:W12" si="10">P12</f>
        <v>335</v>
      </c>
      <c r="S12" s="84" t="str">
        <f t="shared" si="10"/>
        <v>x5</v>
      </c>
      <c r="T12" s="158">
        <f t="shared" si="10"/>
        <v>335</v>
      </c>
      <c r="U12" s="84" t="str">
        <f t="shared" si="10"/>
        <v>x5</v>
      </c>
      <c r="V12" s="158">
        <f t="shared" si="10"/>
        <v>335</v>
      </c>
      <c r="W12" s="84" t="str">
        <f t="shared" si="10"/>
        <v>x5</v>
      </c>
      <c r="X12" s="85"/>
      <c r="Y12" s="86"/>
      <c r="AA12" s="181" t="s">
        <v>9</v>
      </c>
      <c r="AB12" s="82" t="s">
        <v>38</v>
      </c>
      <c r="AC12" s="158">
        <f>IF(('Initial Inputs'!$F$8="kg"),MROUND(($AE$7*0.775),2.5),MROUND(($AE$7*0.775),5))</f>
        <v>370</v>
      </c>
      <c r="AD12" s="84" t="s">
        <v>68</v>
      </c>
      <c r="AE12" s="158">
        <f t="shared" ref="AE12:AL12" si="11">AC12</f>
        <v>370</v>
      </c>
      <c r="AF12" s="84" t="str">
        <f t="shared" si="11"/>
        <v>x5</v>
      </c>
      <c r="AG12" s="158">
        <f t="shared" si="11"/>
        <v>370</v>
      </c>
      <c r="AH12" s="84" t="str">
        <f t="shared" si="11"/>
        <v>x5</v>
      </c>
      <c r="AI12" s="158">
        <f t="shared" si="11"/>
        <v>370</v>
      </c>
      <c r="AJ12" s="84" t="str">
        <f t="shared" si="11"/>
        <v>x5</v>
      </c>
      <c r="AK12" s="158">
        <f t="shared" si="11"/>
        <v>370</v>
      </c>
      <c r="AL12" s="84" t="str">
        <f t="shared" si="11"/>
        <v>x5</v>
      </c>
      <c r="AN12" s="181" t="s">
        <v>9</v>
      </c>
      <c r="AO12" s="82" t="s">
        <v>38</v>
      </c>
      <c r="AP12" s="158">
        <f>IF(('Initial Inputs'!$F$8="kg"),MROUND(($AR$7*0.725),2.5),MROUND(($AR$7*0.725),5))</f>
        <v>325</v>
      </c>
      <c r="AQ12" s="84" t="s">
        <v>68</v>
      </c>
      <c r="AR12" s="158">
        <f t="shared" ref="AR12:BA12" si="12">AP12</f>
        <v>325</v>
      </c>
      <c r="AS12" s="84" t="str">
        <f t="shared" si="12"/>
        <v>x5</v>
      </c>
      <c r="AT12" s="158">
        <f t="shared" si="12"/>
        <v>325</v>
      </c>
      <c r="AU12" s="84" t="str">
        <f t="shared" si="12"/>
        <v>x5</v>
      </c>
      <c r="AV12" s="158">
        <f t="shared" si="12"/>
        <v>325</v>
      </c>
      <c r="AW12" s="84" t="str">
        <f t="shared" si="12"/>
        <v>x5</v>
      </c>
      <c r="AX12" s="158">
        <f t="shared" si="12"/>
        <v>325</v>
      </c>
      <c r="AY12" s="84" t="str">
        <f t="shared" si="12"/>
        <v>x5</v>
      </c>
      <c r="AZ12" s="158">
        <f t="shared" si="12"/>
        <v>325</v>
      </c>
      <c r="BA12" s="84" t="str">
        <f t="shared" si="12"/>
        <v>x5</v>
      </c>
    </row>
    <row r="14">
      <c r="A14" s="61" t="s">
        <v>208</v>
      </c>
      <c r="C14" s="64" t="s">
        <v>30</v>
      </c>
      <c r="D14" s="65"/>
      <c r="E14" s="64" t="s">
        <v>31</v>
      </c>
      <c r="F14" s="65"/>
      <c r="G14" s="64" t="s">
        <v>32</v>
      </c>
      <c r="H14" s="65"/>
      <c r="I14" s="64" t="s">
        <v>33</v>
      </c>
      <c r="J14" s="65"/>
      <c r="K14" s="64" t="s">
        <v>34</v>
      </c>
      <c r="L14" s="63"/>
      <c r="N14" s="61" t="s">
        <v>209</v>
      </c>
      <c r="P14" s="64" t="s">
        <v>30</v>
      </c>
      <c r="Q14" s="65"/>
      <c r="R14" s="64" t="s">
        <v>31</v>
      </c>
      <c r="S14" s="65"/>
      <c r="T14" s="64" t="s">
        <v>32</v>
      </c>
      <c r="U14" s="65"/>
      <c r="V14" s="64" t="s">
        <v>33</v>
      </c>
      <c r="W14" s="65"/>
      <c r="X14" s="64" t="s">
        <v>34</v>
      </c>
      <c r="Y14" s="65"/>
      <c r="AA14" s="61" t="s">
        <v>210</v>
      </c>
      <c r="AC14" s="64" t="s">
        <v>30</v>
      </c>
      <c r="AD14" s="65"/>
      <c r="AE14" s="64" t="s">
        <v>31</v>
      </c>
      <c r="AF14" s="65"/>
      <c r="AG14" s="64" t="s">
        <v>32</v>
      </c>
      <c r="AH14" s="65"/>
      <c r="AI14" s="64" t="s">
        <v>33</v>
      </c>
      <c r="AJ14" s="65"/>
      <c r="AK14" s="64" t="s">
        <v>34</v>
      </c>
      <c r="AL14" s="65"/>
      <c r="AN14" s="61" t="s">
        <v>211</v>
      </c>
      <c r="AP14" s="64" t="s">
        <v>30</v>
      </c>
      <c r="AQ14" s="65"/>
      <c r="AR14" s="64" t="s">
        <v>31</v>
      </c>
      <c r="AS14" s="65"/>
      <c r="AT14" s="64" t="s">
        <v>32</v>
      </c>
      <c r="AU14" s="65"/>
      <c r="AV14" s="64" t="s">
        <v>33</v>
      </c>
      <c r="AW14" s="65"/>
      <c r="AX14" s="64" t="s">
        <v>34</v>
      </c>
      <c r="AY14" s="63"/>
    </row>
    <row r="15">
      <c r="A15" s="176" t="s">
        <v>46</v>
      </c>
      <c r="B15" s="88" t="s">
        <v>38</v>
      </c>
      <c r="C15" s="89"/>
      <c r="D15" s="72" t="s">
        <v>47</v>
      </c>
      <c r="E15" s="89"/>
      <c r="F15" s="69" t="s">
        <v>47</v>
      </c>
      <c r="G15" s="70"/>
      <c r="H15" s="71"/>
      <c r="I15" s="70"/>
      <c r="J15" s="71"/>
      <c r="K15" s="70"/>
      <c r="L15" s="71"/>
      <c r="N15" s="176" t="s">
        <v>46</v>
      </c>
      <c r="O15" s="88" t="s">
        <v>38</v>
      </c>
      <c r="P15" s="89"/>
      <c r="Q15" s="72" t="s">
        <v>47</v>
      </c>
      <c r="R15" s="89"/>
      <c r="S15" s="69" t="s">
        <v>47</v>
      </c>
      <c r="T15" s="70"/>
      <c r="U15" s="71"/>
      <c r="V15" s="70"/>
      <c r="W15" s="71"/>
      <c r="X15" s="70"/>
      <c r="Y15" s="71"/>
      <c r="AA15" s="176" t="s">
        <v>46</v>
      </c>
      <c r="AB15" s="88" t="s">
        <v>38</v>
      </c>
      <c r="AC15" s="89"/>
      <c r="AD15" s="72" t="s">
        <v>47</v>
      </c>
      <c r="AE15" s="89"/>
      <c r="AF15" s="69" t="s">
        <v>47</v>
      </c>
      <c r="AG15" s="70"/>
      <c r="AH15" s="71"/>
      <c r="AI15" s="70"/>
      <c r="AJ15" s="71"/>
      <c r="AK15" s="70"/>
      <c r="AL15" s="71"/>
      <c r="AN15" s="176" t="s">
        <v>46</v>
      </c>
      <c r="AO15" s="88" t="s">
        <v>38</v>
      </c>
      <c r="AP15" s="89"/>
      <c r="AQ15" s="72" t="s">
        <v>47</v>
      </c>
      <c r="AR15" s="89"/>
      <c r="AS15" s="69" t="s">
        <v>47</v>
      </c>
      <c r="AT15" s="70"/>
      <c r="AU15" s="71"/>
      <c r="AV15" s="70"/>
      <c r="AW15" s="71"/>
      <c r="AX15" s="70"/>
      <c r="AY15" s="71"/>
    </row>
    <row r="16">
      <c r="A16" s="178" t="s">
        <v>50</v>
      </c>
      <c r="B16" s="90" t="s">
        <v>38</v>
      </c>
      <c r="C16" s="91"/>
      <c r="D16" s="76" t="s">
        <v>47</v>
      </c>
      <c r="E16" s="92"/>
      <c r="F16" s="93" t="s">
        <v>47</v>
      </c>
      <c r="G16" s="94"/>
      <c r="H16" s="80" t="s">
        <v>47</v>
      </c>
      <c r="I16" s="78"/>
      <c r="J16" s="79"/>
      <c r="K16" s="78"/>
      <c r="L16" s="79"/>
      <c r="M16" s="95"/>
      <c r="N16" s="182" t="s">
        <v>50</v>
      </c>
      <c r="O16" s="90" t="s">
        <v>38</v>
      </c>
      <c r="P16" s="91"/>
      <c r="Q16" s="76" t="s">
        <v>47</v>
      </c>
      <c r="R16" s="92"/>
      <c r="S16" s="93" t="s">
        <v>47</v>
      </c>
      <c r="T16" s="94"/>
      <c r="U16" s="80" t="s">
        <v>47</v>
      </c>
      <c r="V16" s="78"/>
      <c r="W16" s="79"/>
      <c r="X16" s="78"/>
      <c r="Y16" s="79"/>
      <c r="Z16" s="95"/>
      <c r="AA16" s="182" t="s">
        <v>50</v>
      </c>
      <c r="AB16" s="90" t="s">
        <v>38</v>
      </c>
      <c r="AC16" s="91"/>
      <c r="AD16" s="76" t="s">
        <v>47</v>
      </c>
      <c r="AE16" s="92"/>
      <c r="AF16" s="93" t="s">
        <v>47</v>
      </c>
      <c r="AG16" s="94"/>
      <c r="AH16" s="80" t="s">
        <v>47</v>
      </c>
      <c r="AI16" s="78"/>
      <c r="AJ16" s="79"/>
      <c r="AK16" s="78"/>
      <c r="AL16" s="79"/>
      <c r="AN16" s="178" t="s">
        <v>50</v>
      </c>
      <c r="AO16" s="90" t="s">
        <v>38</v>
      </c>
      <c r="AP16" s="91"/>
      <c r="AQ16" s="76" t="s">
        <v>47</v>
      </c>
      <c r="AR16" s="92"/>
      <c r="AS16" s="93" t="s">
        <v>47</v>
      </c>
      <c r="AT16" s="94"/>
      <c r="AU16" s="80" t="s">
        <v>47</v>
      </c>
      <c r="AV16" s="78"/>
      <c r="AW16" s="79"/>
      <c r="AX16" s="78"/>
      <c r="AY16" s="79"/>
    </row>
    <row r="17">
      <c r="A17" s="178" t="s">
        <v>52</v>
      </c>
      <c r="B17" s="90" t="s">
        <v>38</v>
      </c>
      <c r="C17" s="92"/>
      <c r="D17" s="80" t="s">
        <v>47</v>
      </c>
      <c r="E17" s="92"/>
      <c r="F17" s="76" t="s">
        <v>47</v>
      </c>
      <c r="G17" s="78"/>
      <c r="H17" s="79"/>
      <c r="I17" s="78"/>
      <c r="J17" s="79"/>
      <c r="K17" s="78"/>
      <c r="L17" s="79"/>
      <c r="M17" s="95"/>
      <c r="N17" s="182" t="s">
        <v>52</v>
      </c>
      <c r="O17" s="90" t="s">
        <v>38</v>
      </c>
      <c r="P17" s="92"/>
      <c r="Q17" s="80" t="s">
        <v>47</v>
      </c>
      <c r="R17" s="92"/>
      <c r="S17" s="76" t="s">
        <v>47</v>
      </c>
      <c r="T17" s="78"/>
      <c r="U17" s="79"/>
      <c r="V17" s="78"/>
      <c r="W17" s="79"/>
      <c r="X17" s="78"/>
      <c r="Y17" s="79"/>
      <c r="Z17" s="95"/>
      <c r="AA17" s="182" t="s">
        <v>52</v>
      </c>
      <c r="AB17" s="90" t="s">
        <v>38</v>
      </c>
      <c r="AC17" s="92"/>
      <c r="AD17" s="80" t="s">
        <v>47</v>
      </c>
      <c r="AE17" s="92"/>
      <c r="AF17" s="76" t="s">
        <v>47</v>
      </c>
      <c r="AG17" s="78"/>
      <c r="AH17" s="79"/>
      <c r="AI17" s="78"/>
      <c r="AJ17" s="79"/>
      <c r="AK17" s="78"/>
      <c r="AL17" s="79"/>
      <c r="AN17" s="178" t="s">
        <v>52</v>
      </c>
      <c r="AO17" s="90" t="s">
        <v>38</v>
      </c>
      <c r="AP17" s="92"/>
      <c r="AQ17" s="80" t="s">
        <v>47</v>
      </c>
      <c r="AR17" s="92"/>
      <c r="AS17" s="76" t="s">
        <v>47</v>
      </c>
      <c r="AT17" s="78"/>
      <c r="AU17" s="79"/>
      <c r="AV17" s="78"/>
      <c r="AW17" s="79"/>
      <c r="AX17" s="78"/>
      <c r="AY17" s="79"/>
    </row>
    <row r="18">
      <c r="A18" s="178" t="s">
        <v>54</v>
      </c>
      <c r="B18" s="90" t="s">
        <v>38</v>
      </c>
      <c r="C18" s="92"/>
      <c r="D18" s="90" t="s">
        <v>55</v>
      </c>
      <c r="E18" s="92"/>
      <c r="F18" s="90" t="s">
        <v>55</v>
      </c>
      <c r="G18" s="78"/>
      <c r="H18" s="79"/>
      <c r="I18" s="78"/>
      <c r="J18" s="79"/>
      <c r="K18" s="78"/>
      <c r="L18" s="79"/>
      <c r="M18" s="95"/>
      <c r="N18" s="182" t="s">
        <v>54</v>
      </c>
      <c r="O18" s="90" t="s">
        <v>38</v>
      </c>
      <c r="P18" s="92"/>
      <c r="Q18" s="90" t="s">
        <v>55</v>
      </c>
      <c r="R18" s="92"/>
      <c r="S18" s="90" t="s">
        <v>55</v>
      </c>
      <c r="T18" s="78"/>
      <c r="U18" s="79"/>
      <c r="V18" s="78"/>
      <c r="W18" s="79"/>
      <c r="X18" s="78"/>
      <c r="Y18" s="79"/>
      <c r="Z18" s="95"/>
      <c r="AA18" s="182" t="s">
        <v>54</v>
      </c>
      <c r="AB18" s="90" t="s">
        <v>38</v>
      </c>
      <c r="AC18" s="92"/>
      <c r="AD18" s="90" t="s">
        <v>55</v>
      </c>
      <c r="AE18" s="92"/>
      <c r="AF18" s="90" t="s">
        <v>55</v>
      </c>
      <c r="AG18" s="78"/>
      <c r="AH18" s="79"/>
      <c r="AI18" s="78"/>
      <c r="AJ18" s="79"/>
      <c r="AK18" s="78"/>
      <c r="AL18" s="79"/>
      <c r="AN18" s="178" t="s">
        <v>54</v>
      </c>
      <c r="AO18" s="90" t="s">
        <v>38</v>
      </c>
      <c r="AP18" s="92"/>
      <c r="AQ18" s="90" t="s">
        <v>55</v>
      </c>
      <c r="AR18" s="92"/>
      <c r="AS18" s="90" t="s">
        <v>55</v>
      </c>
      <c r="AT18" s="78"/>
      <c r="AU18" s="79"/>
      <c r="AV18" s="78"/>
      <c r="AW18" s="79"/>
      <c r="AX18" s="78"/>
      <c r="AY18" s="79"/>
    </row>
    <row r="19">
      <c r="A19" s="178" t="s">
        <v>56</v>
      </c>
      <c r="B19" s="90" t="s">
        <v>38</v>
      </c>
      <c r="C19" s="92"/>
      <c r="D19" s="90" t="s">
        <v>47</v>
      </c>
      <c r="E19" s="92"/>
      <c r="F19" s="90" t="s">
        <v>47</v>
      </c>
      <c r="G19" s="94"/>
      <c r="H19" s="90" t="s">
        <v>47</v>
      </c>
      <c r="I19" s="94"/>
      <c r="J19" s="90" t="s">
        <v>47</v>
      </c>
      <c r="K19" s="94"/>
      <c r="L19" s="90" t="s">
        <v>47</v>
      </c>
      <c r="M19" s="95"/>
      <c r="N19" s="182" t="s">
        <v>56</v>
      </c>
      <c r="O19" s="90" t="s">
        <v>38</v>
      </c>
      <c r="P19" s="92"/>
      <c r="Q19" s="90" t="s">
        <v>47</v>
      </c>
      <c r="R19" s="92"/>
      <c r="S19" s="90" t="s">
        <v>47</v>
      </c>
      <c r="T19" s="94"/>
      <c r="U19" s="90" t="s">
        <v>47</v>
      </c>
      <c r="V19" s="94"/>
      <c r="W19" s="90" t="s">
        <v>47</v>
      </c>
      <c r="X19" s="94"/>
      <c r="Y19" s="90" t="s">
        <v>47</v>
      </c>
      <c r="Z19" s="95"/>
      <c r="AA19" s="182" t="s">
        <v>56</v>
      </c>
      <c r="AB19" s="90" t="s">
        <v>38</v>
      </c>
      <c r="AC19" s="92"/>
      <c r="AD19" s="90" t="s">
        <v>47</v>
      </c>
      <c r="AE19" s="92"/>
      <c r="AF19" s="90" t="s">
        <v>47</v>
      </c>
      <c r="AG19" s="94"/>
      <c r="AH19" s="90" t="s">
        <v>47</v>
      </c>
      <c r="AI19" s="94"/>
      <c r="AJ19" s="90" t="s">
        <v>47</v>
      </c>
      <c r="AK19" s="94"/>
      <c r="AL19" s="90" t="s">
        <v>47</v>
      </c>
      <c r="AN19" s="178" t="s">
        <v>56</v>
      </c>
      <c r="AO19" s="90" t="s">
        <v>38</v>
      </c>
      <c r="AP19" s="92"/>
      <c r="AQ19" s="90" t="s">
        <v>47</v>
      </c>
      <c r="AR19" s="92"/>
      <c r="AS19" s="90" t="s">
        <v>47</v>
      </c>
      <c r="AT19" s="94"/>
      <c r="AU19" s="90" t="s">
        <v>47</v>
      </c>
      <c r="AV19" s="94"/>
      <c r="AW19" s="90" t="s">
        <v>47</v>
      </c>
      <c r="AX19" s="94"/>
      <c r="AY19" s="90" t="s">
        <v>47</v>
      </c>
    </row>
    <row r="20">
      <c r="A20" s="178" t="s">
        <v>57</v>
      </c>
      <c r="B20" s="90" t="s">
        <v>38</v>
      </c>
      <c r="C20" s="92"/>
      <c r="D20" s="90" t="s">
        <v>58</v>
      </c>
      <c r="E20" s="92"/>
      <c r="F20" s="76" t="s">
        <v>59</v>
      </c>
      <c r="G20" s="94"/>
      <c r="H20" s="98" t="s">
        <v>59</v>
      </c>
      <c r="I20" s="94"/>
      <c r="J20" s="98" t="s">
        <v>59</v>
      </c>
      <c r="K20" s="78"/>
      <c r="L20" s="79"/>
      <c r="M20" s="95"/>
      <c r="N20" s="182" t="s">
        <v>57</v>
      </c>
      <c r="O20" s="90" t="s">
        <v>38</v>
      </c>
      <c r="P20" s="92"/>
      <c r="Q20" s="90" t="s">
        <v>58</v>
      </c>
      <c r="R20" s="92"/>
      <c r="S20" s="76" t="s">
        <v>59</v>
      </c>
      <c r="T20" s="94"/>
      <c r="U20" s="98" t="s">
        <v>59</v>
      </c>
      <c r="V20" s="94"/>
      <c r="W20" s="98" t="s">
        <v>59</v>
      </c>
      <c r="X20" s="78"/>
      <c r="Y20" s="79"/>
      <c r="Z20" s="95"/>
      <c r="AA20" s="182" t="s">
        <v>57</v>
      </c>
      <c r="AB20" s="90" t="s">
        <v>38</v>
      </c>
      <c r="AC20" s="92"/>
      <c r="AD20" s="90" t="s">
        <v>58</v>
      </c>
      <c r="AE20" s="92"/>
      <c r="AF20" s="76" t="s">
        <v>59</v>
      </c>
      <c r="AG20" s="94"/>
      <c r="AH20" s="98" t="s">
        <v>59</v>
      </c>
      <c r="AI20" s="94"/>
      <c r="AJ20" s="98" t="s">
        <v>59</v>
      </c>
      <c r="AK20" s="78"/>
      <c r="AL20" s="79"/>
      <c r="AN20" s="178" t="s">
        <v>57</v>
      </c>
      <c r="AO20" s="90" t="s">
        <v>38</v>
      </c>
      <c r="AP20" s="92"/>
      <c r="AQ20" s="90" t="s">
        <v>58</v>
      </c>
      <c r="AR20" s="92"/>
      <c r="AS20" s="76" t="s">
        <v>59</v>
      </c>
      <c r="AT20" s="94"/>
      <c r="AU20" s="98" t="s">
        <v>59</v>
      </c>
      <c r="AV20" s="94"/>
      <c r="AW20" s="98" t="s">
        <v>59</v>
      </c>
      <c r="AX20" s="78"/>
      <c r="AY20" s="79"/>
    </row>
    <row r="21" ht="15.75" customHeight="1">
      <c r="A21" s="183" t="s">
        <v>60</v>
      </c>
      <c r="B21" s="90" t="s">
        <v>38</v>
      </c>
      <c r="C21" s="92"/>
      <c r="D21" s="90" t="s">
        <v>47</v>
      </c>
      <c r="E21" s="92"/>
      <c r="F21" s="90" t="s">
        <v>47</v>
      </c>
      <c r="G21" s="94"/>
      <c r="H21" s="90" t="s">
        <v>47</v>
      </c>
      <c r="I21" s="94"/>
      <c r="J21" s="90" t="s">
        <v>47</v>
      </c>
      <c r="K21" s="94"/>
      <c r="L21" s="90" t="s">
        <v>47</v>
      </c>
      <c r="M21" s="95"/>
      <c r="N21" s="184" t="s">
        <v>60</v>
      </c>
      <c r="O21" s="90" t="s">
        <v>38</v>
      </c>
      <c r="P21" s="92"/>
      <c r="Q21" s="90" t="s">
        <v>47</v>
      </c>
      <c r="R21" s="92"/>
      <c r="S21" s="90" t="s">
        <v>47</v>
      </c>
      <c r="T21" s="94"/>
      <c r="U21" s="90" t="s">
        <v>47</v>
      </c>
      <c r="V21" s="94"/>
      <c r="W21" s="90" t="s">
        <v>47</v>
      </c>
      <c r="X21" s="94"/>
      <c r="Y21" s="90" t="s">
        <v>47</v>
      </c>
      <c r="Z21" s="95"/>
      <c r="AA21" s="184" t="s">
        <v>60</v>
      </c>
      <c r="AB21" s="90" t="s">
        <v>38</v>
      </c>
      <c r="AC21" s="92"/>
      <c r="AD21" s="90" t="s">
        <v>47</v>
      </c>
      <c r="AE21" s="92"/>
      <c r="AF21" s="90" t="s">
        <v>47</v>
      </c>
      <c r="AG21" s="94"/>
      <c r="AH21" s="90" t="s">
        <v>47</v>
      </c>
      <c r="AI21" s="94"/>
      <c r="AJ21" s="90" t="s">
        <v>47</v>
      </c>
      <c r="AK21" s="94"/>
      <c r="AL21" s="90" t="s">
        <v>47</v>
      </c>
      <c r="AN21" s="183" t="s">
        <v>60</v>
      </c>
      <c r="AO21" s="90" t="s">
        <v>38</v>
      </c>
      <c r="AP21" s="92"/>
      <c r="AQ21" s="90" t="s">
        <v>47</v>
      </c>
      <c r="AR21" s="92"/>
      <c r="AS21" s="90" t="s">
        <v>47</v>
      </c>
      <c r="AT21" s="94"/>
      <c r="AU21" s="90" t="s">
        <v>47</v>
      </c>
      <c r="AV21" s="94"/>
      <c r="AW21" s="90" t="s">
        <v>47</v>
      </c>
      <c r="AX21" s="94"/>
      <c r="AY21" s="90" t="s">
        <v>47</v>
      </c>
    </row>
    <row r="22" ht="15.75" customHeight="1">
      <c r="A22" s="181" t="s">
        <v>61</v>
      </c>
      <c r="B22" s="101" t="s">
        <v>38</v>
      </c>
      <c r="C22" s="102"/>
      <c r="D22" s="101" t="s">
        <v>58</v>
      </c>
      <c r="E22" s="102"/>
      <c r="F22" s="84" t="s">
        <v>59</v>
      </c>
      <c r="G22" s="103"/>
      <c r="H22" s="84" t="s">
        <v>59</v>
      </c>
      <c r="I22" s="103"/>
      <c r="J22" s="84" t="s">
        <v>59</v>
      </c>
      <c r="K22" s="85"/>
      <c r="L22" s="86"/>
      <c r="M22" s="95"/>
      <c r="N22" s="185" t="s">
        <v>61</v>
      </c>
      <c r="O22" s="101" t="s">
        <v>38</v>
      </c>
      <c r="P22" s="102"/>
      <c r="Q22" s="101" t="s">
        <v>58</v>
      </c>
      <c r="R22" s="102"/>
      <c r="S22" s="84" t="s">
        <v>59</v>
      </c>
      <c r="T22" s="103"/>
      <c r="U22" s="84" t="s">
        <v>59</v>
      </c>
      <c r="V22" s="103"/>
      <c r="W22" s="84" t="s">
        <v>59</v>
      </c>
      <c r="X22" s="85"/>
      <c r="Y22" s="86"/>
      <c r="Z22" s="95"/>
      <c r="AA22" s="185" t="s">
        <v>61</v>
      </c>
      <c r="AB22" s="101" t="s">
        <v>38</v>
      </c>
      <c r="AC22" s="102"/>
      <c r="AD22" s="101" t="s">
        <v>58</v>
      </c>
      <c r="AE22" s="102"/>
      <c r="AF22" s="84" t="s">
        <v>59</v>
      </c>
      <c r="AG22" s="103"/>
      <c r="AH22" s="84" t="s">
        <v>59</v>
      </c>
      <c r="AI22" s="103"/>
      <c r="AJ22" s="84" t="s">
        <v>59</v>
      </c>
      <c r="AK22" s="85"/>
      <c r="AL22" s="86"/>
      <c r="AN22" s="181" t="s">
        <v>61</v>
      </c>
      <c r="AO22" s="101" t="s">
        <v>38</v>
      </c>
      <c r="AP22" s="102"/>
      <c r="AQ22" s="101" t="s">
        <v>58</v>
      </c>
      <c r="AR22" s="102"/>
      <c r="AS22" s="84" t="s">
        <v>59</v>
      </c>
      <c r="AT22" s="103"/>
      <c r="AU22" s="84" t="s">
        <v>59</v>
      </c>
      <c r="AV22" s="103"/>
      <c r="AW22" s="84" t="s">
        <v>59</v>
      </c>
      <c r="AX22" s="85"/>
      <c r="AY22" s="86"/>
    </row>
    <row r="23" ht="15.75" customHeight="1">
      <c r="AN23" s="31"/>
    </row>
    <row r="24" ht="15.75" customHeight="1">
      <c r="A24" s="61" t="s">
        <v>212</v>
      </c>
      <c r="C24" s="64" t="s">
        <v>30</v>
      </c>
      <c r="D24" s="65"/>
      <c r="E24" s="64" t="s">
        <v>31</v>
      </c>
      <c r="F24" s="65"/>
      <c r="G24" s="64" t="s">
        <v>32</v>
      </c>
      <c r="H24" s="65"/>
      <c r="I24" s="64" t="s">
        <v>33</v>
      </c>
      <c r="J24" s="65"/>
      <c r="K24" s="64" t="s">
        <v>34</v>
      </c>
      <c r="L24" s="65"/>
      <c r="N24" s="61" t="s">
        <v>213</v>
      </c>
      <c r="P24" s="64" t="s">
        <v>30</v>
      </c>
      <c r="Q24" s="65"/>
      <c r="R24" s="64" t="s">
        <v>31</v>
      </c>
      <c r="S24" s="65"/>
      <c r="T24" s="64" t="s">
        <v>32</v>
      </c>
      <c r="U24" s="65"/>
      <c r="V24" s="64" t="s">
        <v>33</v>
      </c>
      <c r="W24" s="65"/>
      <c r="X24" s="64" t="s">
        <v>34</v>
      </c>
      <c r="Y24" s="65"/>
      <c r="AA24" s="61" t="s">
        <v>214</v>
      </c>
      <c r="AC24" s="64" t="s">
        <v>30</v>
      </c>
      <c r="AD24" s="65"/>
      <c r="AE24" s="64" t="s">
        <v>31</v>
      </c>
      <c r="AF24" s="65"/>
      <c r="AG24" s="64" t="s">
        <v>32</v>
      </c>
      <c r="AH24" s="65"/>
      <c r="AI24" s="64" t="s">
        <v>33</v>
      </c>
      <c r="AJ24" s="65"/>
      <c r="AK24" s="64" t="s">
        <v>34</v>
      </c>
      <c r="AL24" s="65"/>
      <c r="AN24" s="61" t="s">
        <v>215</v>
      </c>
      <c r="AP24" s="64" t="s">
        <v>30</v>
      </c>
      <c r="AQ24" s="65"/>
      <c r="AR24" s="64" t="s">
        <v>31</v>
      </c>
      <c r="AS24" s="65"/>
      <c r="AT24" s="64" t="s">
        <v>32</v>
      </c>
      <c r="AU24" s="65"/>
      <c r="AV24" s="64" t="s">
        <v>33</v>
      </c>
      <c r="AW24" s="65"/>
      <c r="AX24" s="64" t="s">
        <v>34</v>
      </c>
      <c r="AY24" s="65"/>
      <c r="AZ24" s="64" t="s">
        <v>207</v>
      </c>
      <c r="BA24" s="63"/>
    </row>
    <row r="25" ht="15.75" customHeight="1">
      <c r="A25" s="176" t="s">
        <v>7</v>
      </c>
      <c r="B25" s="88" t="s">
        <v>38</v>
      </c>
      <c r="C25" s="153">
        <f>IF(('Initial Inputs'!$F$8="kg"),MROUND(($E$5*0.825),2.5),MROUND(($E$5*0.825),5))</f>
        <v>280</v>
      </c>
      <c r="D25" s="69" t="s">
        <v>68</v>
      </c>
      <c r="E25" s="153">
        <f t="shared" ref="E25:H25" si="13">C25</f>
        <v>280</v>
      </c>
      <c r="F25" s="69" t="str">
        <f t="shared" si="13"/>
        <v>x5</v>
      </c>
      <c r="G25" s="153">
        <f t="shared" si="13"/>
        <v>280</v>
      </c>
      <c r="H25" s="69" t="str">
        <f t="shared" si="13"/>
        <v>x5</v>
      </c>
      <c r="I25" s="70"/>
      <c r="J25" s="71"/>
      <c r="K25" s="70"/>
      <c r="L25" s="71"/>
      <c r="N25" s="176" t="s">
        <v>7</v>
      </c>
      <c r="O25" s="88" t="s">
        <v>38</v>
      </c>
      <c r="P25" s="153">
        <f>IF(('Initial Inputs'!$F$8="kg"),MROUND(($E$5*0.825),2.5),MROUND(($E$5*0.825),5))</f>
        <v>280</v>
      </c>
      <c r="Q25" s="69" t="s">
        <v>68</v>
      </c>
      <c r="R25" s="153">
        <f t="shared" ref="R25:W25" si="14">P25</f>
        <v>280</v>
      </c>
      <c r="S25" s="69" t="str">
        <f t="shared" si="14"/>
        <v>x5</v>
      </c>
      <c r="T25" s="153">
        <f t="shared" si="14"/>
        <v>280</v>
      </c>
      <c r="U25" s="69" t="str">
        <f t="shared" si="14"/>
        <v>x5</v>
      </c>
      <c r="V25" s="153">
        <f t="shared" si="14"/>
        <v>280</v>
      </c>
      <c r="W25" s="69" t="str">
        <f t="shared" si="14"/>
        <v>x5</v>
      </c>
      <c r="X25" s="70"/>
      <c r="Y25" s="71"/>
      <c r="AA25" s="176" t="s">
        <v>7</v>
      </c>
      <c r="AB25" s="88" t="s">
        <v>38</v>
      </c>
      <c r="AC25" s="153">
        <f>IF(('Initial Inputs'!$F$8="kg"),MROUND(($AE$5*0.825),2.5),MROUND(($AE$5*0.825),5))</f>
        <v>355</v>
      </c>
      <c r="AD25" s="69" t="s">
        <v>68</v>
      </c>
      <c r="AE25" s="153">
        <f t="shared" ref="AE25:AL25" si="15">AC25</f>
        <v>355</v>
      </c>
      <c r="AF25" s="69" t="str">
        <f t="shared" si="15"/>
        <v>x5</v>
      </c>
      <c r="AG25" s="153">
        <f t="shared" si="15"/>
        <v>355</v>
      </c>
      <c r="AH25" s="69" t="str">
        <f t="shared" si="15"/>
        <v>x5</v>
      </c>
      <c r="AI25" s="153">
        <f t="shared" si="15"/>
        <v>355</v>
      </c>
      <c r="AJ25" s="69" t="str">
        <f t="shared" si="15"/>
        <v>x5</v>
      </c>
      <c r="AK25" s="153">
        <f t="shared" si="15"/>
        <v>355</v>
      </c>
      <c r="AL25" s="69" t="str">
        <f t="shared" si="15"/>
        <v>x5</v>
      </c>
      <c r="AN25" s="176" t="s">
        <v>7</v>
      </c>
      <c r="AO25" s="88" t="s">
        <v>38</v>
      </c>
      <c r="AP25" s="153">
        <f>IF(('Initial Inputs'!$F$8="kg"),MROUND(($AR$5*0.825),2.5),MROUND(($AR$5*0.825),5))</f>
        <v>365</v>
      </c>
      <c r="AQ25" s="69" t="s">
        <v>68</v>
      </c>
      <c r="AR25" s="153">
        <f t="shared" ref="AR25:BA25" si="16">AP25</f>
        <v>365</v>
      </c>
      <c r="AS25" s="69" t="str">
        <f t="shared" si="16"/>
        <v>x5</v>
      </c>
      <c r="AT25" s="153">
        <f t="shared" si="16"/>
        <v>365</v>
      </c>
      <c r="AU25" s="69" t="str">
        <f t="shared" si="16"/>
        <v>x5</v>
      </c>
      <c r="AV25" s="153">
        <f t="shared" si="16"/>
        <v>365</v>
      </c>
      <c r="AW25" s="69" t="str">
        <f t="shared" si="16"/>
        <v>x5</v>
      </c>
      <c r="AX25" s="153">
        <f t="shared" si="16"/>
        <v>365</v>
      </c>
      <c r="AY25" s="69" t="str">
        <f t="shared" si="16"/>
        <v>x5</v>
      </c>
      <c r="AZ25" s="153">
        <f t="shared" si="16"/>
        <v>365</v>
      </c>
      <c r="BA25" s="69" t="str">
        <f t="shared" si="16"/>
        <v>x5</v>
      </c>
    </row>
    <row r="26" ht="15.75" customHeight="1">
      <c r="A26" s="178" t="s">
        <v>8</v>
      </c>
      <c r="B26" s="90" t="s">
        <v>38</v>
      </c>
      <c r="C26" s="155">
        <f>IF(('Initial Inputs'!$F$8="kg"),MROUND(($E$6*0.825),2.5),MROUND(($E$6*0.825),5))</f>
        <v>220</v>
      </c>
      <c r="D26" s="76" t="s">
        <v>68</v>
      </c>
      <c r="E26" s="155">
        <f t="shared" ref="E26:H26" si="17">C26</f>
        <v>220</v>
      </c>
      <c r="F26" s="76" t="str">
        <f t="shared" si="17"/>
        <v>x5</v>
      </c>
      <c r="G26" s="155">
        <f t="shared" si="17"/>
        <v>220</v>
      </c>
      <c r="H26" s="76" t="str">
        <f t="shared" si="17"/>
        <v>x5</v>
      </c>
      <c r="I26" s="78"/>
      <c r="J26" s="79"/>
      <c r="K26" s="78"/>
      <c r="L26" s="79"/>
      <c r="M26" s="95"/>
      <c r="N26" s="182" t="s">
        <v>8</v>
      </c>
      <c r="O26" s="90" t="s">
        <v>38</v>
      </c>
      <c r="P26" s="155">
        <f>IF(('Initial Inputs'!$F$8="kg"),MROUND(($E$6*0.825),2.5),MROUND(($E$6*0.825),5))</f>
        <v>220</v>
      </c>
      <c r="Q26" s="76" t="s">
        <v>68</v>
      </c>
      <c r="R26" s="155">
        <f t="shared" ref="R26:W26" si="18">P26</f>
        <v>220</v>
      </c>
      <c r="S26" s="76" t="str">
        <f t="shared" si="18"/>
        <v>x5</v>
      </c>
      <c r="T26" s="155">
        <f t="shared" si="18"/>
        <v>220</v>
      </c>
      <c r="U26" s="76" t="str">
        <f t="shared" si="18"/>
        <v>x5</v>
      </c>
      <c r="V26" s="155">
        <f t="shared" si="18"/>
        <v>220</v>
      </c>
      <c r="W26" s="76" t="str">
        <f t="shared" si="18"/>
        <v>x5</v>
      </c>
      <c r="X26" s="78"/>
      <c r="Y26" s="79"/>
      <c r="Z26" s="95"/>
      <c r="AA26" s="182" t="s">
        <v>8</v>
      </c>
      <c r="AB26" s="90" t="s">
        <v>38</v>
      </c>
      <c r="AC26" s="156">
        <f>IF(('Initial Inputs'!$F$8="kg"),MROUND(($AE$6*0.825),2.5),MROUND(($AE$6*0.825),5))</f>
        <v>260</v>
      </c>
      <c r="AD26" s="76" t="s">
        <v>68</v>
      </c>
      <c r="AE26" s="156">
        <f t="shared" ref="AE26:AL26" si="19">AC26</f>
        <v>260</v>
      </c>
      <c r="AF26" s="76" t="str">
        <f t="shared" si="19"/>
        <v>x5</v>
      </c>
      <c r="AG26" s="156">
        <f t="shared" si="19"/>
        <v>260</v>
      </c>
      <c r="AH26" s="76" t="str">
        <f t="shared" si="19"/>
        <v>x5</v>
      </c>
      <c r="AI26" s="156">
        <f t="shared" si="19"/>
        <v>260</v>
      </c>
      <c r="AJ26" s="76" t="str">
        <f t="shared" si="19"/>
        <v>x5</v>
      </c>
      <c r="AK26" s="156">
        <f t="shared" si="19"/>
        <v>260</v>
      </c>
      <c r="AL26" s="76" t="str">
        <f t="shared" si="19"/>
        <v>x5</v>
      </c>
      <c r="AM26" s="186"/>
      <c r="AN26" s="182" t="s">
        <v>8</v>
      </c>
      <c r="AO26" s="90" t="s">
        <v>38</v>
      </c>
      <c r="AP26" s="156">
        <f>IF(('Initial Inputs'!$F$8="kg"),MROUND(($AR$6*0.825),2.5),MROUND(($AR$6*0.825),5))</f>
        <v>250</v>
      </c>
      <c r="AQ26" s="76" t="s">
        <v>68</v>
      </c>
      <c r="AR26" s="156">
        <f t="shared" ref="AR26:BA26" si="20">AP26</f>
        <v>250</v>
      </c>
      <c r="AS26" s="76" t="str">
        <f t="shared" si="20"/>
        <v>x5</v>
      </c>
      <c r="AT26" s="156">
        <f t="shared" si="20"/>
        <v>250</v>
      </c>
      <c r="AU26" s="76" t="str">
        <f t="shared" si="20"/>
        <v>x5</v>
      </c>
      <c r="AV26" s="156">
        <f t="shared" si="20"/>
        <v>250</v>
      </c>
      <c r="AW26" s="76" t="str">
        <f t="shared" si="20"/>
        <v>x5</v>
      </c>
      <c r="AX26" s="156">
        <f t="shared" si="20"/>
        <v>250</v>
      </c>
      <c r="AY26" s="76" t="str">
        <f t="shared" si="20"/>
        <v>x5</v>
      </c>
      <c r="AZ26" s="156">
        <f t="shared" si="20"/>
        <v>250</v>
      </c>
      <c r="BA26" s="76" t="str">
        <f t="shared" si="20"/>
        <v>x5</v>
      </c>
    </row>
    <row r="27" ht="15.75" customHeight="1">
      <c r="A27" s="178" t="s">
        <v>48</v>
      </c>
      <c r="B27" s="90" t="s">
        <v>38</v>
      </c>
      <c r="C27" s="92"/>
      <c r="D27" s="90" t="s">
        <v>49</v>
      </c>
      <c r="E27" s="92"/>
      <c r="F27" s="90" t="s">
        <v>49</v>
      </c>
      <c r="G27" s="78"/>
      <c r="H27" s="79"/>
      <c r="I27" s="78"/>
      <c r="J27" s="79"/>
      <c r="K27" s="107"/>
      <c r="L27" s="108"/>
      <c r="M27" s="95"/>
      <c r="N27" s="182" t="s">
        <v>48</v>
      </c>
      <c r="O27" s="90" t="s">
        <v>38</v>
      </c>
      <c r="P27" s="92"/>
      <c r="Q27" s="90" t="s">
        <v>49</v>
      </c>
      <c r="R27" s="92"/>
      <c r="S27" s="90" t="s">
        <v>49</v>
      </c>
      <c r="T27" s="78"/>
      <c r="U27" s="79"/>
      <c r="V27" s="78"/>
      <c r="W27" s="79"/>
      <c r="X27" s="107"/>
      <c r="Y27" s="108"/>
      <c r="Z27" s="95"/>
      <c r="AA27" s="182" t="s">
        <v>48</v>
      </c>
      <c r="AB27" s="90" t="s">
        <v>38</v>
      </c>
      <c r="AC27" s="92"/>
      <c r="AD27" s="90" t="s">
        <v>49</v>
      </c>
      <c r="AE27" s="92"/>
      <c r="AF27" s="90" t="s">
        <v>49</v>
      </c>
      <c r="AG27" s="78"/>
      <c r="AH27" s="79"/>
      <c r="AI27" s="78"/>
      <c r="AJ27" s="79"/>
      <c r="AK27" s="107"/>
      <c r="AL27" s="108"/>
      <c r="AM27" s="186"/>
      <c r="AN27" s="182" t="s">
        <v>48</v>
      </c>
      <c r="AO27" s="90" t="s">
        <v>38</v>
      </c>
      <c r="AP27" s="92"/>
      <c r="AQ27" s="90" t="s">
        <v>49</v>
      </c>
      <c r="AR27" s="92"/>
      <c r="AS27" s="90" t="s">
        <v>49</v>
      </c>
      <c r="AT27" s="78"/>
      <c r="AU27" s="79"/>
      <c r="AV27" s="78"/>
      <c r="AW27" s="79"/>
      <c r="AX27" s="107"/>
      <c r="AY27" s="108"/>
      <c r="AZ27" s="187"/>
      <c r="BA27" s="108"/>
    </row>
    <row r="28" ht="15.75" customHeight="1">
      <c r="A28" s="178" t="s">
        <v>67</v>
      </c>
      <c r="B28" s="90" t="s">
        <v>38</v>
      </c>
      <c r="C28" s="92"/>
      <c r="D28" s="90" t="s">
        <v>49</v>
      </c>
      <c r="E28" s="92"/>
      <c r="F28" s="90" t="s">
        <v>49</v>
      </c>
      <c r="G28" s="78"/>
      <c r="H28" s="79"/>
      <c r="I28" s="78"/>
      <c r="J28" s="79"/>
      <c r="K28" s="78"/>
      <c r="L28" s="108"/>
      <c r="M28" s="95"/>
      <c r="N28" s="182" t="s">
        <v>67</v>
      </c>
      <c r="O28" s="90" t="s">
        <v>38</v>
      </c>
      <c r="P28" s="92"/>
      <c r="Q28" s="90" t="s">
        <v>49</v>
      </c>
      <c r="R28" s="92"/>
      <c r="S28" s="90" t="s">
        <v>49</v>
      </c>
      <c r="T28" s="78"/>
      <c r="U28" s="79"/>
      <c r="V28" s="78"/>
      <c r="W28" s="79"/>
      <c r="X28" s="78"/>
      <c r="Y28" s="108"/>
      <c r="Z28" s="95"/>
      <c r="AA28" s="182" t="s">
        <v>67</v>
      </c>
      <c r="AB28" s="90" t="s">
        <v>38</v>
      </c>
      <c r="AC28" s="92"/>
      <c r="AD28" s="90" t="s">
        <v>49</v>
      </c>
      <c r="AE28" s="92"/>
      <c r="AF28" s="90" t="s">
        <v>49</v>
      </c>
      <c r="AG28" s="78"/>
      <c r="AH28" s="79"/>
      <c r="AI28" s="78"/>
      <c r="AJ28" s="79"/>
      <c r="AK28" s="78"/>
      <c r="AL28" s="108"/>
      <c r="AM28" s="186"/>
      <c r="AN28" s="182" t="s">
        <v>67</v>
      </c>
      <c r="AO28" s="90" t="s">
        <v>38</v>
      </c>
      <c r="AP28" s="92"/>
      <c r="AQ28" s="90" t="s">
        <v>49</v>
      </c>
      <c r="AR28" s="92"/>
      <c r="AS28" s="90" t="s">
        <v>49</v>
      </c>
      <c r="AT28" s="78"/>
      <c r="AU28" s="79"/>
      <c r="AV28" s="78"/>
      <c r="AW28" s="79"/>
      <c r="AX28" s="78"/>
      <c r="AY28" s="108"/>
      <c r="AZ28" s="78"/>
      <c r="BA28" s="108"/>
    </row>
    <row r="29" ht="15.75" customHeight="1">
      <c r="A29" s="178" t="s">
        <v>69</v>
      </c>
      <c r="B29" s="90" t="s">
        <v>38</v>
      </c>
      <c r="C29" s="92"/>
      <c r="D29" s="90" t="s">
        <v>70</v>
      </c>
      <c r="E29" s="92"/>
      <c r="F29" s="90" t="s">
        <v>70</v>
      </c>
      <c r="G29" s="94"/>
      <c r="H29" s="90" t="s">
        <v>70</v>
      </c>
      <c r="I29" s="78"/>
      <c r="J29" s="79"/>
      <c r="K29" s="109"/>
      <c r="L29" s="108"/>
      <c r="M29" s="95"/>
      <c r="N29" s="182" t="s">
        <v>69</v>
      </c>
      <c r="O29" s="90" t="s">
        <v>38</v>
      </c>
      <c r="P29" s="92"/>
      <c r="Q29" s="90" t="s">
        <v>70</v>
      </c>
      <c r="R29" s="92"/>
      <c r="S29" s="90" t="s">
        <v>70</v>
      </c>
      <c r="T29" s="94"/>
      <c r="U29" s="90" t="s">
        <v>70</v>
      </c>
      <c r="V29" s="78"/>
      <c r="W29" s="79"/>
      <c r="X29" s="109"/>
      <c r="Y29" s="108"/>
      <c r="Z29" s="95"/>
      <c r="AA29" s="182" t="s">
        <v>69</v>
      </c>
      <c r="AB29" s="90" t="s">
        <v>38</v>
      </c>
      <c r="AC29" s="92"/>
      <c r="AD29" s="90" t="s">
        <v>70</v>
      </c>
      <c r="AE29" s="92"/>
      <c r="AF29" s="90" t="s">
        <v>70</v>
      </c>
      <c r="AG29" s="94"/>
      <c r="AH29" s="90" t="s">
        <v>70</v>
      </c>
      <c r="AI29" s="78"/>
      <c r="AJ29" s="79"/>
      <c r="AK29" s="109"/>
      <c r="AL29" s="108"/>
      <c r="AM29" s="186"/>
      <c r="AN29" s="182" t="s">
        <v>69</v>
      </c>
      <c r="AO29" s="90" t="s">
        <v>38</v>
      </c>
      <c r="AP29" s="92"/>
      <c r="AQ29" s="90" t="s">
        <v>70</v>
      </c>
      <c r="AR29" s="92"/>
      <c r="AS29" s="90" t="s">
        <v>70</v>
      </c>
      <c r="AT29" s="94"/>
      <c r="AU29" s="90" t="s">
        <v>70</v>
      </c>
      <c r="AV29" s="78"/>
      <c r="AW29" s="79"/>
      <c r="AX29" s="109"/>
      <c r="AY29" s="108"/>
      <c r="AZ29" s="109"/>
      <c r="BA29" s="108"/>
    </row>
    <row r="30" ht="15.75" customHeight="1">
      <c r="A30" s="178" t="s">
        <v>71</v>
      </c>
      <c r="B30" s="90" t="s">
        <v>38</v>
      </c>
      <c r="C30" s="92"/>
      <c r="D30" s="90" t="s">
        <v>72</v>
      </c>
      <c r="E30" s="92"/>
      <c r="F30" s="90" t="s">
        <v>72</v>
      </c>
      <c r="G30" s="94"/>
      <c r="H30" s="90" t="s">
        <v>72</v>
      </c>
      <c r="I30" s="78"/>
      <c r="J30" s="79"/>
      <c r="K30" s="109"/>
      <c r="L30" s="108"/>
      <c r="M30" s="95"/>
      <c r="N30" s="182" t="s">
        <v>71</v>
      </c>
      <c r="O30" s="90" t="s">
        <v>38</v>
      </c>
      <c r="P30" s="92"/>
      <c r="Q30" s="90" t="s">
        <v>72</v>
      </c>
      <c r="R30" s="92"/>
      <c r="S30" s="90" t="s">
        <v>72</v>
      </c>
      <c r="T30" s="94"/>
      <c r="U30" s="90" t="s">
        <v>72</v>
      </c>
      <c r="V30" s="78"/>
      <c r="W30" s="79"/>
      <c r="X30" s="109"/>
      <c r="Y30" s="108"/>
      <c r="Z30" s="95"/>
      <c r="AA30" s="182" t="s">
        <v>71</v>
      </c>
      <c r="AB30" s="90" t="s">
        <v>38</v>
      </c>
      <c r="AC30" s="92"/>
      <c r="AD30" s="90" t="s">
        <v>72</v>
      </c>
      <c r="AE30" s="92"/>
      <c r="AF30" s="90" t="s">
        <v>72</v>
      </c>
      <c r="AG30" s="94"/>
      <c r="AH30" s="90" t="s">
        <v>72</v>
      </c>
      <c r="AI30" s="78"/>
      <c r="AJ30" s="79"/>
      <c r="AK30" s="109"/>
      <c r="AL30" s="108"/>
      <c r="AM30" s="186"/>
      <c r="AN30" s="182" t="s">
        <v>71</v>
      </c>
      <c r="AO30" s="90" t="s">
        <v>38</v>
      </c>
      <c r="AP30" s="92"/>
      <c r="AQ30" s="90" t="s">
        <v>72</v>
      </c>
      <c r="AR30" s="92"/>
      <c r="AS30" s="90" t="s">
        <v>72</v>
      </c>
      <c r="AT30" s="94"/>
      <c r="AU30" s="90" t="s">
        <v>72</v>
      </c>
      <c r="AV30" s="78"/>
      <c r="AW30" s="79"/>
      <c r="AX30" s="109"/>
      <c r="AY30" s="108"/>
      <c r="AZ30" s="109"/>
      <c r="BA30" s="108"/>
    </row>
    <row r="31" ht="15.75" customHeight="1">
      <c r="A31" s="178" t="s">
        <v>53</v>
      </c>
      <c r="B31" s="90" t="s">
        <v>38</v>
      </c>
      <c r="C31" s="92"/>
      <c r="D31" s="90" t="s">
        <v>47</v>
      </c>
      <c r="E31" s="92"/>
      <c r="F31" s="90" t="s">
        <v>47</v>
      </c>
      <c r="G31" s="94"/>
      <c r="H31" s="90" t="s">
        <v>47</v>
      </c>
      <c r="I31" s="94"/>
      <c r="J31" s="90" t="s">
        <v>47</v>
      </c>
      <c r="K31" s="109"/>
      <c r="L31" s="108"/>
      <c r="M31" s="95"/>
      <c r="N31" s="182" t="s">
        <v>53</v>
      </c>
      <c r="O31" s="90" t="s">
        <v>38</v>
      </c>
      <c r="P31" s="92"/>
      <c r="Q31" s="90" t="s">
        <v>47</v>
      </c>
      <c r="R31" s="92"/>
      <c r="S31" s="90" t="s">
        <v>47</v>
      </c>
      <c r="T31" s="92"/>
      <c r="U31" s="90" t="s">
        <v>47</v>
      </c>
      <c r="V31" s="92"/>
      <c r="W31" s="90" t="s">
        <v>47</v>
      </c>
      <c r="X31" s="109"/>
      <c r="Y31" s="108"/>
      <c r="Z31" s="95"/>
      <c r="AA31" s="182" t="s">
        <v>53</v>
      </c>
      <c r="AB31" s="90" t="s">
        <v>38</v>
      </c>
      <c r="AC31" s="92"/>
      <c r="AD31" s="90" t="s">
        <v>47</v>
      </c>
      <c r="AE31" s="92"/>
      <c r="AF31" s="90" t="s">
        <v>47</v>
      </c>
      <c r="AG31" s="92"/>
      <c r="AH31" s="90" t="s">
        <v>47</v>
      </c>
      <c r="AI31" s="92"/>
      <c r="AJ31" s="90" t="s">
        <v>47</v>
      </c>
      <c r="AK31" s="109"/>
      <c r="AL31" s="108"/>
      <c r="AM31" s="186"/>
      <c r="AN31" s="182" t="s">
        <v>53</v>
      </c>
      <c r="AO31" s="90" t="s">
        <v>38</v>
      </c>
      <c r="AP31" s="92"/>
      <c r="AQ31" s="90" t="s">
        <v>47</v>
      </c>
      <c r="AR31" s="92"/>
      <c r="AS31" s="90" t="s">
        <v>47</v>
      </c>
      <c r="AT31" s="92"/>
      <c r="AU31" s="90" t="s">
        <v>47</v>
      </c>
      <c r="AV31" s="92"/>
      <c r="AW31" s="90" t="s">
        <v>47</v>
      </c>
      <c r="AX31" s="109"/>
      <c r="AY31" s="108"/>
      <c r="AZ31" s="109"/>
      <c r="BA31" s="108"/>
    </row>
    <row r="32" ht="15.75" customHeight="1">
      <c r="A32" s="181" t="s">
        <v>73</v>
      </c>
      <c r="B32" s="101" t="s">
        <v>38</v>
      </c>
      <c r="C32" s="102"/>
      <c r="D32" s="101" t="s">
        <v>58</v>
      </c>
      <c r="E32" s="102"/>
      <c r="F32" s="84" t="s">
        <v>59</v>
      </c>
      <c r="G32" s="103"/>
      <c r="H32" s="84" t="s">
        <v>59</v>
      </c>
      <c r="I32" s="103"/>
      <c r="J32" s="84" t="s">
        <v>59</v>
      </c>
      <c r="K32" s="85"/>
      <c r="L32" s="86"/>
      <c r="M32" s="95"/>
      <c r="N32" s="185" t="s">
        <v>73</v>
      </c>
      <c r="O32" s="101" t="s">
        <v>38</v>
      </c>
      <c r="P32" s="102"/>
      <c r="Q32" s="101" t="s">
        <v>58</v>
      </c>
      <c r="R32" s="102"/>
      <c r="S32" s="84" t="s">
        <v>59</v>
      </c>
      <c r="T32" s="103"/>
      <c r="U32" s="84" t="s">
        <v>59</v>
      </c>
      <c r="V32" s="103"/>
      <c r="W32" s="84" t="s">
        <v>59</v>
      </c>
      <c r="X32" s="85"/>
      <c r="Y32" s="86"/>
      <c r="Z32" s="95"/>
      <c r="AA32" s="185" t="s">
        <v>73</v>
      </c>
      <c r="AB32" s="101" t="s">
        <v>38</v>
      </c>
      <c r="AC32" s="102"/>
      <c r="AD32" s="101" t="s">
        <v>58</v>
      </c>
      <c r="AE32" s="102"/>
      <c r="AF32" s="84" t="s">
        <v>59</v>
      </c>
      <c r="AG32" s="103"/>
      <c r="AH32" s="84" t="s">
        <v>59</v>
      </c>
      <c r="AI32" s="103"/>
      <c r="AJ32" s="84" t="s">
        <v>59</v>
      </c>
      <c r="AK32" s="85"/>
      <c r="AL32" s="86"/>
      <c r="AM32" s="186"/>
      <c r="AN32" s="185" t="s">
        <v>73</v>
      </c>
      <c r="AO32" s="101" t="s">
        <v>38</v>
      </c>
      <c r="AP32" s="102"/>
      <c r="AQ32" s="101" t="s">
        <v>58</v>
      </c>
      <c r="AR32" s="102"/>
      <c r="AS32" s="84" t="s">
        <v>59</v>
      </c>
      <c r="AT32" s="103"/>
      <c r="AU32" s="84" t="s">
        <v>59</v>
      </c>
      <c r="AV32" s="103"/>
      <c r="AW32" s="84" t="s">
        <v>59</v>
      </c>
      <c r="AX32" s="85"/>
      <c r="AY32" s="86"/>
      <c r="AZ32" s="85"/>
      <c r="BA32" s="86"/>
    </row>
    <row r="33" ht="15.75" customHeight="1">
      <c r="AN33" s="112"/>
      <c r="AO33" s="112"/>
      <c r="AP33" s="113"/>
      <c r="AQ33" s="112"/>
      <c r="AR33" s="113"/>
      <c r="AS33" s="112"/>
      <c r="AT33" s="112"/>
      <c r="AU33" s="112"/>
      <c r="AV33" s="112"/>
      <c r="AW33" s="112"/>
      <c r="AX33" s="112"/>
      <c r="AY33" s="112"/>
    </row>
    <row r="34" ht="15.75" customHeight="1">
      <c r="A34" s="115" t="s">
        <v>216</v>
      </c>
      <c r="N34" s="115" t="s">
        <v>217</v>
      </c>
      <c r="AA34" s="115" t="s">
        <v>218</v>
      </c>
      <c r="AN34" s="115" t="s">
        <v>219</v>
      </c>
      <c r="AO34" s="112"/>
      <c r="AP34" s="113"/>
      <c r="AQ34" s="112"/>
      <c r="AR34" s="113"/>
      <c r="AS34" s="112"/>
      <c r="AT34" s="113"/>
      <c r="AU34" s="112"/>
      <c r="AV34" s="113"/>
      <c r="AW34" s="112"/>
      <c r="AX34" s="112"/>
      <c r="AY34" s="112"/>
    </row>
    <row r="35" ht="15.75" customHeight="1">
      <c r="AN35" s="112"/>
      <c r="AO35" s="112"/>
      <c r="AP35" s="113"/>
      <c r="AQ35" s="112"/>
      <c r="AR35" s="113"/>
      <c r="AS35" s="112"/>
      <c r="AT35" s="112"/>
      <c r="AU35" s="112"/>
      <c r="AV35" s="112"/>
      <c r="AW35" s="112"/>
      <c r="AX35" s="112"/>
      <c r="AY35" s="112"/>
    </row>
    <row r="36" ht="15.75" customHeight="1">
      <c r="A36" s="61" t="s">
        <v>220</v>
      </c>
      <c r="C36" s="64" t="s">
        <v>30</v>
      </c>
      <c r="D36" s="65"/>
      <c r="E36" s="64" t="s">
        <v>31</v>
      </c>
      <c r="F36" s="65"/>
      <c r="G36" s="64" t="s">
        <v>32</v>
      </c>
      <c r="H36" s="65"/>
      <c r="I36" s="64" t="s">
        <v>33</v>
      </c>
      <c r="J36" s="65"/>
      <c r="K36" s="64" t="s">
        <v>34</v>
      </c>
      <c r="L36" s="65"/>
      <c r="N36" s="61" t="s">
        <v>221</v>
      </c>
      <c r="P36" s="64" t="s">
        <v>30</v>
      </c>
      <c r="Q36" s="65"/>
      <c r="R36" s="64" t="s">
        <v>31</v>
      </c>
      <c r="S36" s="65"/>
      <c r="T36" s="64" t="s">
        <v>32</v>
      </c>
      <c r="U36" s="65"/>
      <c r="V36" s="64" t="s">
        <v>33</v>
      </c>
      <c r="W36" s="65"/>
      <c r="X36" s="64" t="s">
        <v>34</v>
      </c>
      <c r="Y36" s="65"/>
      <c r="AA36" s="61" t="s">
        <v>222</v>
      </c>
      <c r="AC36" s="64" t="s">
        <v>30</v>
      </c>
      <c r="AD36" s="65"/>
      <c r="AE36" s="64" t="s">
        <v>31</v>
      </c>
      <c r="AF36" s="65"/>
      <c r="AG36" s="64" t="s">
        <v>32</v>
      </c>
      <c r="AH36" s="65"/>
      <c r="AI36" s="64" t="s">
        <v>33</v>
      </c>
      <c r="AJ36" s="65"/>
      <c r="AK36" s="64" t="s">
        <v>34</v>
      </c>
      <c r="AL36" s="65"/>
      <c r="AN36" s="61" t="s">
        <v>223</v>
      </c>
      <c r="AP36" s="64" t="s">
        <v>30</v>
      </c>
      <c r="AQ36" s="65"/>
      <c r="AR36" s="64" t="s">
        <v>31</v>
      </c>
      <c r="AS36" s="65"/>
      <c r="AT36" s="64" t="s">
        <v>32</v>
      </c>
      <c r="AU36" s="65"/>
      <c r="AV36" s="64" t="s">
        <v>33</v>
      </c>
      <c r="AW36" s="65"/>
      <c r="AX36" s="64" t="s">
        <v>34</v>
      </c>
      <c r="AY36" s="65"/>
      <c r="AZ36" s="64" t="s">
        <v>207</v>
      </c>
      <c r="BA36" s="63"/>
    </row>
    <row r="37" ht="15.75" customHeight="1">
      <c r="A37" s="176" t="s">
        <v>9</v>
      </c>
      <c r="B37" s="88" t="s">
        <v>38</v>
      </c>
      <c r="C37" s="166">
        <f>IF(('Initial Inputs'!$F$8="kg"),MROUND(($E$7*0.875),2.5),MROUND(($E$7*0.875),5))</f>
        <v>375</v>
      </c>
      <c r="D37" s="69" t="s">
        <v>224</v>
      </c>
      <c r="E37" s="153">
        <f t="shared" ref="E37:H37" si="21">C37</f>
        <v>375</v>
      </c>
      <c r="F37" s="69" t="str">
        <f t="shared" si="21"/>
        <v>x2</v>
      </c>
      <c r="G37" s="153">
        <f t="shared" si="21"/>
        <v>375</v>
      </c>
      <c r="H37" s="69" t="str">
        <f t="shared" si="21"/>
        <v>x2</v>
      </c>
      <c r="I37" s="70"/>
      <c r="J37" s="71"/>
      <c r="K37" s="70"/>
      <c r="L37" s="71"/>
      <c r="N37" s="176" t="s">
        <v>83</v>
      </c>
      <c r="O37" s="88" t="s">
        <v>38</v>
      </c>
      <c r="P37" s="166">
        <f>IF(('Initial Inputs'!$F$8="kg"),MROUND(($E$7*0.875),2.5),MROUND(($E$7*0.875),5))</f>
        <v>375</v>
      </c>
      <c r="Q37" s="69" t="s">
        <v>224</v>
      </c>
      <c r="R37" s="153">
        <f t="shared" ref="R37:V37" si="22">P37</f>
        <v>375</v>
      </c>
      <c r="S37" s="69" t="str">
        <f t="shared" si="22"/>
        <v>x2</v>
      </c>
      <c r="T37" s="153">
        <f t="shared" si="22"/>
        <v>375</v>
      </c>
      <c r="U37" s="69" t="str">
        <f t="shared" si="22"/>
        <v>x2</v>
      </c>
      <c r="V37" s="153">
        <f t="shared" si="22"/>
        <v>375</v>
      </c>
      <c r="W37" s="69" t="s">
        <v>84</v>
      </c>
      <c r="X37" s="70"/>
      <c r="Y37" s="71"/>
      <c r="AA37" s="176" t="s">
        <v>85</v>
      </c>
      <c r="AB37" s="88" t="s">
        <v>38</v>
      </c>
      <c r="AC37" s="153">
        <f>IF(('Initial Inputs'!$F$8="kg"),MROUND(($AE$7*0.875),2.5),MROUND(($AE$7*0.875),5))</f>
        <v>420</v>
      </c>
      <c r="AD37" s="69" t="s">
        <v>224</v>
      </c>
      <c r="AE37" s="153">
        <f t="shared" ref="AE37:AK37" si="23">AC37</f>
        <v>420</v>
      </c>
      <c r="AF37" s="69" t="str">
        <f t="shared" si="23"/>
        <v>x2</v>
      </c>
      <c r="AG37" s="153">
        <f t="shared" si="23"/>
        <v>420</v>
      </c>
      <c r="AH37" s="69" t="str">
        <f t="shared" si="23"/>
        <v>x2</v>
      </c>
      <c r="AI37" s="153">
        <f t="shared" si="23"/>
        <v>420</v>
      </c>
      <c r="AJ37" s="69" t="str">
        <f t="shared" si="23"/>
        <v>x2</v>
      </c>
      <c r="AK37" s="153">
        <f t="shared" si="23"/>
        <v>420</v>
      </c>
      <c r="AL37" s="69" t="s">
        <v>84</v>
      </c>
      <c r="AN37" s="176" t="s">
        <v>85</v>
      </c>
      <c r="AO37" s="88" t="s">
        <v>38</v>
      </c>
      <c r="AP37" s="153">
        <f>IF(('Initial Inputs'!$F$8="kg"),MROUND(($AR$7*0.875),2.5),MROUND(($AR$7*0.875),5))</f>
        <v>390</v>
      </c>
      <c r="AQ37" s="69" t="s">
        <v>224</v>
      </c>
      <c r="AR37" s="153">
        <f t="shared" ref="AR37:AZ37" si="24">AP37</f>
        <v>390</v>
      </c>
      <c r="AS37" s="69" t="str">
        <f t="shared" si="24"/>
        <v>x2</v>
      </c>
      <c r="AT37" s="153">
        <f t="shared" si="24"/>
        <v>390</v>
      </c>
      <c r="AU37" s="69" t="str">
        <f t="shared" si="24"/>
        <v>x2</v>
      </c>
      <c r="AV37" s="153">
        <f t="shared" si="24"/>
        <v>390</v>
      </c>
      <c r="AW37" s="69" t="str">
        <f t="shared" si="24"/>
        <v>x2</v>
      </c>
      <c r="AX37" s="153">
        <f t="shared" si="24"/>
        <v>390</v>
      </c>
      <c r="AY37" s="69" t="str">
        <f t="shared" si="24"/>
        <v>x2</v>
      </c>
      <c r="AZ37" s="153">
        <f t="shared" si="24"/>
        <v>390</v>
      </c>
      <c r="BA37" s="69" t="s">
        <v>84</v>
      </c>
    </row>
    <row r="38" ht="15.75" customHeight="1">
      <c r="A38" s="178" t="s">
        <v>8</v>
      </c>
      <c r="B38" s="90" t="s">
        <v>38</v>
      </c>
      <c r="C38" s="155">
        <f>IF(('Initial Inputs'!$F$8="kg"),MROUND(($E$6*0.875),2.5),MROUND(($E$6*0.875),5))</f>
        <v>230</v>
      </c>
      <c r="D38" s="76" t="s">
        <v>86</v>
      </c>
      <c r="E38" s="155">
        <f t="shared" ref="E38:J38" si="25">C38</f>
        <v>230</v>
      </c>
      <c r="F38" s="76" t="str">
        <f t="shared" si="25"/>
        <v>x3</v>
      </c>
      <c r="G38" s="155">
        <f t="shared" si="25"/>
        <v>230</v>
      </c>
      <c r="H38" s="76" t="str">
        <f t="shared" si="25"/>
        <v>x3</v>
      </c>
      <c r="I38" s="155">
        <f t="shared" si="25"/>
        <v>230</v>
      </c>
      <c r="J38" s="76" t="str">
        <f t="shared" si="25"/>
        <v>x3</v>
      </c>
      <c r="K38" s="78"/>
      <c r="L38" s="79"/>
      <c r="M38" s="95"/>
      <c r="N38" s="182" t="s">
        <v>87</v>
      </c>
      <c r="O38" s="90" t="s">
        <v>38</v>
      </c>
      <c r="P38" s="155">
        <f>IF(('Initial Inputs'!$F$8="kg"),MROUND(($E$6*0.875),2.5),MROUND(($E$6*0.875),5))</f>
        <v>230</v>
      </c>
      <c r="Q38" s="76" t="s">
        <v>86</v>
      </c>
      <c r="R38" s="155">
        <f t="shared" ref="R38:X38" si="26">P38</f>
        <v>230</v>
      </c>
      <c r="S38" s="76" t="str">
        <f t="shared" si="26"/>
        <v>x3</v>
      </c>
      <c r="T38" s="155">
        <f t="shared" si="26"/>
        <v>230</v>
      </c>
      <c r="U38" s="76" t="str">
        <f t="shared" si="26"/>
        <v>x3</v>
      </c>
      <c r="V38" s="155">
        <f t="shared" si="26"/>
        <v>230</v>
      </c>
      <c r="W38" s="76" t="str">
        <f t="shared" si="26"/>
        <v>x3</v>
      </c>
      <c r="X38" s="155">
        <f t="shared" si="26"/>
        <v>230</v>
      </c>
      <c r="Y38" s="76" t="s">
        <v>84</v>
      </c>
      <c r="Z38" s="95"/>
      <c r="AA38" s="182" t="s">
        <v>88</v>
      </c>
      <c r="AB38" s="90" t="s">
        <v>38</v>
      </c>
      <c r="AC38" s="156">
        <f>IF(('Initial Inputs'!$F$8="kg"),MROUND(($AE$6*0.875),2.5),MROUND(($AE$6*0.875),5))</f>
        <v>275</v>
      </c>
      <c r="AD38" s="76" t="s">
        <v>86</v>
      </c>
      <c r="AE38" s="156">
        <f t="shared" ref="AE38:AK38" si="27">AC38</f>
        <v>275</v>
      </c>
      <c r="AF38" s="76" t="str">
        <f t="shared" si="27"/>
        <v>x3</v>
      </c>
      <c r="AG38" s="156">
        <f t="shared" si="27"/>
        <v>275</v>
      </c>
      <c r="AH38" s="76" t="str">
        <f t="shared" si="27"/>
        <v>x3</v>
      </c>
      <c r="AI38" s="156">
        <f t="shared" si="27"/>
        <v>275</v>
      </c>
      <c r="AJ38" s="76" t="str">
        <f t="shared" si="27"/>
        <v>x3</v>
      </c>
      <c r="AK38" s="156">
        <f t="shared" si="27"/>
        <v>275</v>
      </c>
      <c r="AL38" s="76" t="s">
        <v>84</v>
      </c>
      <c r="AM38" s="186"/>
      <c r="AN38" s="183" t="s">
        <v>88</v>
      </c>
      <c r="AO38" s="74" t="s">
        <v>38</v>
      </c>
      <c r="AP38" s="155">
        <f>IF(('Initial Inputs'!$F$8="kg"),MROUND(($AR$6*0.875),2.5),MROUND(($AR$6*0.875),5))</f>
        <v>265</v>
      </c>
      <c r="AQ38" s="76" t="s">
        <v>86</v>
      </c>
      <c r="AR38" s="155">
        <f t="shared" ref="AR38:AZ38" si="28">AP38</f>
        <v>265</v>
      </c>
      <c r="AS38" s="76" t="str">
        <f t="shared" si="28"/>
        <v>x3</v>
      </c>
      <c r="AT38" s="155">
        <f t="shared" si="28"/>
        <v>265</v>
      </c>
      <c r="AU38" s="76" t="str">
        <f t="shared" si="28"/>
        <v>x3</v>
      </c>
      <c r="AV38" s="155">
        <f t="shared" si="28"/>
        <v>265</v>
      </c>
      <c r="AW38" s="76" t="str">
        <f t="shared" si="28"/>
        <v>x3</v>
      </c>
      <c r="AX38" s="155">
        <f t="shared" si="28"/>
        <v>265</v>
      </c>
      <c r="AY38" s="76" t="str">
        <f t="shared" si="28"/>
        <v>x3</v>
      </c>
      <c r="AZ38" s="155">
        <f t="shared" si="28"/>
        <v>265</v>
      </c>
      <c r="BA38" s="76" t="s">
        <v>84</v>
      </c>
    </row>
    <row r="39" ht="15.75" customHeight="1">
      <c r="A39" s="178" t="s">
        <v>89</v>
      </c>
      <c r="B39" s="90" t="s">
        <v>38</v>
      </c>
      <c r="C39" s="92"/>
      <c r="D39" s="90" t="s">
        <v>90</v>
      </c>
      <c r="E39" s="92"/>
      <c r="F39" s="90" t="s">
        <v>90</v>
      </c>
      <c r="G39" s="78"/>
      <c r="H39" s="79"/>
      <c r="I39" s="78"/>
      <c r="J39" s="79"/>
      <c r="K39" s="78"/>
      <c r="L39" s="79"/>
      <c r="M39" s="95"/>
      <c r="N39" s="182" t="s">
        <v>89</v>
      </c>
      <c r="O39" s="90" t="s">
        <v>38</v>
      </c>
      <c r="P39" s="92"/>
      <c r="Q39" s="90" t="s">
        <v>90</v>
      </c>
      <c r="R39" s="92"/>
      <c r="S39" s="90" t="s">
        <v>90</v>
      </c>
      <c r="T39" s="78"/>
      <c r="U39" s="79"/>
      <c r="V39" s="78"/>
      <c r="W39" s="79"/>
      <c r="X39" s="78"/>
      <c r="Y39" s="79"/>
      <c r="Z39" s="95"/>
      <c r="AA39" s="182" t="s">
        <v>89</v>
      </c>
      <c r="AB39" s="90" t="s">
        <v>38</v>
      </c>
      <c r="AC39" s="92"/>
      <c r="AD39" s="90" t="s">
        <v>90</v>
      </c>
      <c r="AE39" s="92"/>
      <c r="AF39" s="90" t="s">
        <v>90</v>
      </c>
      <c r="AG39" s="78"/>
      <c r="AH39" s="79"/>
      <c r="AI39" s="78"/>
      <c r="AJ39" s="79"/>
      <c r="AK39" s="78"/>
      <c r="AL39" s="79"/>
      <c r="AM39" s="186"/>
      <c r="AN39" s="178" t="s">
        <v>46</v>
      </c>
      <c r="AO39" s="188" t="s">
        <v>38</v>
      </c>
      <c r="AP39" s="189"/>
      <c r="AQ39" s="80" t="s">
        <v>47</v>
      </c>
      <c r="AR39" s="189"/>
      <c r="AS39" s="80" t="s">
        <v>47</v>
      </c>
      <c r="AT39" s="190"/>
      <c r="AU39" s="180"/>
      <c r="AV39" s="190"/>
      <c r="AW39" s="180"/>
      <c r="AX39" s="190"/>
      <c r="AY39" s="180"/>
      <c r="AZ39" s="190"/>
      <c r="BA39" s="180"/>
    </row>
    <row r="40" ht="15.75" customHeight="1">
      <c r="A40" s="178" t="s">
        <v>91</v>
      </c>
      <c r="B40" s="90" t="s">
        <v>38</v>
      </c>
      <c r="C40" s="92"/>
      <c r="D40" s="90" t="s">
        <v>90</v>
      </c>
      <c r="E40" s="92"/>
      <c r="F40" s="90" t="s">
        <v>90</v>
      </c>
      <c r="G40" s="78"/>
      <c r="H40" s="79"/>
      <c r="I40" s="78"/>
      <c r="J40" s="79"/>
      <c r="K40" s="78"/>
      <c r="L40" s="79"/>
      <c r="M40" s="95"/>
      <c r="N40" s="182" t="s">
        <v>91</v>
      </c>
      <c r="O40" s="90" t="s">
        <v>38</v>
      </c>
      <c r="P40" s="92"/>
      <c r="Q40" s="90" t="s">
        <v>90</v>
      </c>
      <c r="R40" s="92"/>
      <c r="S40" s="90" t="s">
        <v>90</v>
      </c>
      <c r="T40" s="78"/>
      <c r="U40" s="79"/>
      <c r="V40" s="78"/>
      <c r="W40" s="79"/>
      <c r="X40" s="78"/>
      <c r="Y40" s="79"/>
      <c r="Z40" s="95"/>
      <c r="AA40" s="182" t="s">
        <v>91</v>
      </c>
      <c r="AB40" s="90" t="s">
        <v>38</v>
      </c>
      <c r="AC40" s="92"/>
      <c r="AD40" s="90" t="s">
        <v>90</v>
      </c>
      <c r="AE40" s="92"/>
      <c r="AF40" s="90" t="s">
        <v>90</v>
      </c>
      <c r="AG40" s="78"/>
      <c r="AH40" s="79"/>
      <c r="AI40" s="78"/>
      <c r="AJ40" s="79"/>
      <c r="AK40" s="78"/>
      <c r="AL40" s="79"/>
      <c r="AM40" s="186"/>
      <c r="AN40" s="178" t="s">
        <v>50</v>
      </c>
      <c r="AO40" s="90" t="s">
        <v>38</v>
      </c>
      <c r="AP40" s="91"/>
      <c r="AQ40" s="76" t="s">
        <v>47</v>
      </c>
      <c r="AR40" s="92"/>
      <c r="AS40" s="93" t="s">
        <v>47</v>
      </c>
      <c r="AT40" s="94"/>
      <c r="AU40" s="80" t="s">
        <v>47</v>
      </c>
      <c r="AV40" s="78"/>
      <c r="AW40" s="79"/>
      <c r="AX40" s="78"/>
      <c r="AY40" s="79"/>
      <c r="AZ40" s="78"/>
      <c r="BA40" s="79"/>
    </row>
    <row r="41" ht="15.75" customHeight="1">
      <c r="A41" s="178" t="s">
        <v>92</v>
      </c>
      <c r="B41" s="90" t="s">
        <v>38</v>
      </c>
      <c r="C41" s="92"/>
      <c r="D41" s="90" t="s">
        <v>90</v>
      </c>
      <c r="E41" s="92"/>
      <c r="F41" s="90" t="s">
        <v>90</v>
      </c>
      <c r="G41" s="78"/>
      <c r="H41" s="79"/>
      <c r="I41" s="78"/>
      <c r="J41" s="79"/>
      <c r="K41" s="78"/>
      <c r="L41" s="79"/>
      <c r="M41" s="95"/>
      <c r="N41" s="182" t="s">
        <v>92</v>
      </c>
      <c r="O41" s="90" t="s">
        <v>38</v>
      </c>
      <c r="P41" s="92"/>
      <c r="Q41" s="90" t="s">
        <v>90</v>
      </c>
      <c r="R41" s="92"/>
      <c r="S41" s="90" t="s">
        <v>90</v>
      </c>
      <c r="T41" s="78"/>
      <c r="U41" s="79"/>
      <c r="V41" s="78"/>
      <c r="W41" s="79"/>
      <c r="X41" s="78"/>
      <c r="Y41" s="79"/>
      <c r="Z41" s="95"/>
      <c r="AA41" s="182" t="s">
        <v>92</v>
      </c>
      <c r="AB41" s="90" t="s">
        <v>38</v>
      </c>
      <c r="AC41" s="92"/>
      <c r="AD41" s="90" t="s">
        <v>90</v>
      </c>
      <c r="AE41" s="92"/>
      <c r="AF41" s="90" t="s">
        <v>90</v>
      </c>
      <c r="AG41" s="78"/>
      <c r="AH41" s="79"/>
      <c r="AI41" s="78"/>
      <c r="AJ41" s="79"/>
      <c r="AK41" s="78"/>
      <c r="AL41" s="79"/>
      <c r="AM41" s="186"/>
      <c r="AN41" s="178" t="s">
        <v>52</v>
      </c>
      <c r="AO41" s="90" t="s">
        <v>38</v>
      </c>
      <c r="AP41" s="92"/>
      <c r="AQ41" s="80" t="s">
        <v>47</v>
      </c>
      <c r="AR41" s="92"/>
      <c r="AS41" s="76" t="s">
        <v>47</v>
      </c>
      <c r="AT41" s="78"/>
      <c r="AU41" s="79"/>
      <c r="AV41" s="78"/>
      <c r="AW41" s="79"/>
      <c r="AX41" s="78"/>
      <c r="AY41" s="79"/>
      <c r="AZ41" s="78"/>
      <c r="BA41" s="79"/>
    </row>
    <row r="42" ht="15.75" customHeight="1">
      <c r="A42" s="178" t="s">
        <v>94</v>
      </c>
      <c r="B42" s="90" t="s">
        <v>38</v>
      </c>
      <c r="C42" s="92"/>
      <c r="D42" s="90" t="s">
        <v>90</v>
      </c>
      <c r="E42" s="92"/>
      <c r="F42" s="90" t="s">
        <v>90</v>
      </c>
      <c r="G42" s="78"/>
      <c r="H42" s="79"/>
      <c r="I42" s="78"/>
      <c r="J42" s="79"/>
      <c r="K42" s="78"/>
      <c r="L42" s="79"/>
      <c r="M42" s="95"/>
      <c r="N42" s="182" t="s">
        <v>94</v>
      </c>
      <c r="O42" s="90" t="s">
        <v>38</v>
      </c>
      <c r="P42" s="92"/>
      <c r="Q42" s="90" t="s">
        <v>90</v>
      </c>
      <c r="R42" s="92"/>
      <c r="S42" s="90" t="s">
        <v>90</v>
      </c>
      <c r="T42" s="78"/>
      <c r="U42" s="79"/>
      <c r="V42" s="78"/>
      <c r="W42" s="79"/>
      <c r="X42" s="78"/>
      <c r="Y42" s="79"/>
      <c r="Z42" s="95"/>
      <c r="AA42" s="182" t="s">
        <v>94</v>
      </c>
      <c r="AB42" s="90" t="s">
        <v>38</v>
      </c>
      <c r="AC42" s="92"/>
      <c r="AD42" s="90" t="s">
        <v>90</v>
      </c>
      <c r="AE42" s="92"/>
      <c r="AF42" s="90" t="s">
        <v>90</v>
      </c>
      <c r="AG42" s="78"/>
      <c r="AH42" s="79"/>
      <c r="AI42" s="78"/>
      <c r="AJ42" s="79"/>
      <c r="AK42" s="78"/>
      <c r="AL42" s="79"/>
      <c r="AM42" s="186"/>
      <c r="AN42" s="178" t="s">
        <v>54</v>
      </c>
      <c r="AO42" s="90" t="s">
        <v>38</v>
      </c>
      <c r="AP42" s="92"/>
      <c r="AQ42" s="90" t="s">
        <v>55</v>
      </c>
      <c r="AR42" s="92"/>
      <c r="AS42" s="90" t="s">
        <v>55</v>
      </c>
      <c r="AT42" s="78"/>
      <c r="AU42" s="79"/>
      <c r="AV42" s="78"/>
      <c r="AW42" s="79"/>
      <c r="AX42" s="78"/>
      <c r="AY42" s="79"/>
      <c r="AZ42" s="78"/>
      <c r="BA42" s="79"/>
    </row>
    <row r="43" ht="15.75" customHeight="1">
      <c r="A43" s="183" t="s">
        <v>95</v>
      </c>
      <c r="B43" s="90" t="s">
        <v>38</v>
      </c>
      <c r="C43" s="92"/>
      <c r="D43" s="90" t="s">
        <v>90</v>
      </c>
      <c r="E43" s="92"/>
      <c r="F43" s="90" t="s">
        <v>90</v>
      </c>
      <c r="G43" s="94"/>
      <c r="H43" s="90" t="s">
        <v>90</v>
      </c>
      <c r="I43" s="94"/>
      <c r="J43" s="90" t="s">
        <v>90</v>
      </c>
      <c r="K43" s="94"/>
      <c r="L43" s="90" t="s">
        <v>90</v>
      </c>
      <c r="M43" s="95"/>
      <c r="N43" s="184" t="s">
        <v>95</v>
      </c>
      <c r="O43" s="90" t="s">
        <v>38</v>
      </c>
      <c r="P43" s="92"/>
      <c r="Q43" s="90" t="s">
        <v>90</v>
      </c>
      <c r="R43" s="92"/>
      <c r="S43" s="90" t="s">
        <v>90</v>
      </c>
      <c r="T43" s="94"/>
      <c r="U43" s="90" t="s">
        <v>90</v>
      </c>
      <c r="V43" s="94"/>
      <c r="W43" s="90" t="s">
        <v>90</v>
      </c>
      <c r="X43" s="94"/>
      <c r="Y43" s="90" t="s">
        <v>90</v>
      </c>
      <c r="Z43" s="95"/>
      <c r="AA43" s="184" t="s">
        <v>95</v>
      </c>
      <c r="AB43" s="90" t="s">
        <v>38</v>
      </c>
      <c r="AC43" s="92"/>
      <c r="AD43" s="90" t="s">
        <v>90</v>
      </c>
      <c r="AE43" s="92"/>
      <c r="AF43" s="90" t="s">
        <v>90</v>
      </c>
      <c r="AG43" s="94"/>
      <c r="AH43" s="90" t="s">
        <v>90</v>
      </c>
      <c r="AI43" s="94"/>
      <c r="AJ43" s="90" t="s">
        <v>90</v>
      </c>
      <c r="AK43" s="94"/>
      <c r="AL43" s="90" t="s">
        <v>90</v>
      </c>
      <c r="AM43" s="186"/>
      <c r="AN43" s="178" t="s">
        <v>56</v>
      </c>
      <c r="AO43" s="90" t="s">
        <v>38</v>
      </c>
      <c r="AP43" s="92"/>
      <c r="AQ43" s="90" t="s">
        <v>47</v>
      </c>
      <c r="AR43" s="92"/>
      <c r="AS43" s="90" t="s">
        <v>47</v>
      </c>
      <c r="AT43" s="94"/>
      <c r="AU43" s="90" t="s">
        <v>47</v>
      </c>
      <c r="AV43" s="94"/>
      <c r="AW43" s="90" t="s">
        <v>47</v>
      </c>
      <c r="AX43" s="78"/>
      <c r="AY43" s="122"/>
      <c r="AZ43" s="78"/>
      <c r="BA43" s="122"/>
    </row>
    <row r="44" ht="15.75" customHeight="1">
      <c r="A44" s="178" t="s">
        <v>96</v>
      </c>
      <c r="B44" s="110" t="s">
        <v>38</v>
      </c>
      <c r="C44" s="92"/>
      <c r="D44" s="90" t="s">
        <v>97</v>
      </c>
      <c r="E44" s="92"/>
      <c r="F44" s="76" t="s">
        <v>98</v>
      </c>
      <c r="G44" s="94"/>
      <c r="H44" s="76" t="s">
        <v>98</v>
      </c>
      <c r="I44" s="94"/>
      <c r="J44" s="76" t="s">
        <v>98</v>
      </c>
      <c r="K44" s="78"/>
      <c r="L44" s="79"/>
      <c r="M44" s="95"/>
      <c r="N44" s="182" t="s">
        <v>96</v>
      </c>
      <c r="O44" s="110" t="s">
        <v>38</v>
      </c>
      <c r="P44" s="92"/>
      <c r="Q44" s="90" t="s">
        <v>97</v>
      </c>
      <c r="R44" s="92"/>
      <c r="S44" s="76" t="s">
        <v>98</v>
      </c>
      <c r="T44" s="94"/>
      <c r="U44" s="76" t="s">
        <v>98</v>
      </c>
      <c r="V44" s="94"/>
      <c r="W44" s="76" t="s">
        <v>98</v>
      </c>
      <c r="X44" s="78"/>
      <c r="Y44" s="79"/>
      <c r="Z44" s="95"/>
      <c r="AA44" s="182" t="s">
        <v>96</v>
      </c>
      <c r="AB44" s="110" t="s">
        <v>38</v>
      </c>
      <c r="AC44" s="92"/>
      <c r="AD44" s="90" t="s">
        <v>97</v>
      </c>
      <c r="AE44" s="92"/>
      <c r="AF44" s="76" t="s">
        <v>98</v>
      </c>
      <c r="AG44" s="94"/>
      <c r="AH44" s="76" t="s">
        <v>98</v>
      </c>
      <c r="AI44" s="94"/>
      <c r="AJ44" s="76" t="s">
        <v>98</v>
      </c>
      <c r="AK44" s="78"/>
      <c r="AL44" s="79"/>
      <c r="AM44" s="186"/>
      <c r="AN44" s="178" t="s">
        <v>57</v>
      </c>
      <c r="AO44" s="90" t="s">
        <v>38</v>
      </c>
      <c r="AP44" s="92"/>
      <c r="AQ44" s="90" t="s">
        <v>58</v>
      </c>
      <c r="AR44" s="92"/>
      <c r="AS44" s="76" t="s">
        <v>59</v>
      </c>
      <c r="AT44" s="94"/>
      <c r="AU44" s="98" t="s">
        <v>59</v>
      </c>
      <c r="AV44" s="94"/>
      <c r="AW44" s="98" t="s">
        <v>59</v>
      </c>
      <c r="AX44" s="78"/>
      <c r="AY44" s="79"/>
      <c r="AZ44" s="78"/>
      <c r="BA44" s="79"/>
    </row>
    <row r="45" ht="15.75" customHeight="1">
      <c r="A45" s="183" t="s">
        <v>100</v>
      </c>
      <c r="B45" s="90" t="s">
        <v>38</v>
      </c>
      <c r="C45" s="92"/>
      <c r="D45" s="90" t="s">
        <v>90</v>
      </c>
      <c r="E45" s="92"/>
      <c r="F45" s="90" t="s">
        <v>90</v>
      </c>
      <c r="G45" s="94"/>
      <c r="H45" s="90" t="s">
        <v>90</v>
      </c>
      <c r="I45" s="78"/>
      <c r="J45" s="122"/>
      <c r="K45" s="78"/>
      <c r="L45" s="122"/>
      <c r="M45" s="95"/>
      <c r="N45" s="184" t="s">
        <v>100</v>
      </c>
      <c r="O45" s="90" t="s">
        <v>38</v>
      </c>
      <c r="P45" s="92"/>
      <c r="Q45" s="90" t="s">
        <v>90</v>
      </c>
      <c r="R45" s="92"/>
      <c r="S45" s="90" t="s">
        <v>90</v>
      </c>
      <c r="T45" s="94"/>
      <c r="U45" s="90" t="s">
        <v>90</v>
      </c>
      <c r="V45" s="78"/>
      <c r="W45" s="122"/>
      <c r="X45" s="78"/>
      <c r="Y45" s="122"/>
      <c r="Z45" s="95"/>
      <c r="AA45" s="181" t="s">
        <v>100</v>
      </c>
      <c r="AB45" s="101" t="s">
        <v>38</v>
      </c>
      <c r="AC45" s="102"/>
      <c r="AD45" s="101" t="s">
        <v>90</v>
      </c>
      <c r="AE45" s="102"/>
      <c r="AF45" s="101" t="s">
        <v>90</v>
      </c>
      <c r="AG45" s="103"/>
      <c r="AH45" s="101" t="s">
        <v>90</v>
      </c>
      <c r="AI45" s="103"/>
      <c r="AJ45" s="101" t="s">
        <v>90</v>
      </c>
      <c r="AK45" s="103"/>
      <c r="AL45" s="101" t="s">
        <v>90</v>
      </c>
      <c r="AM45" s="31"/>
      <c r="AN45" s="183" t="s">
        <v>60</v>
      </c>
      <c r="AO45" s="90" t="s">
        <v>38</v>
      </c>
      <c r="AP45" s="92"/>
      <c r="AQ45" s="90" t="s">
        <v>47</v>
      </c>
      <c r="AR45" s="92"/>
      <c r="AS45" s="90" t="s">
        <v>47</v>
      </c>
      <c r="AT45" s="94"/>
      <c r="AU45" s="90" t="s">
        <v>47</v>
      </c>
      <c r="AV45" s="94"/>
      <c r="AW45" s="90" t="s">
        <v>47</v>
      </c>
      <c r="AX45" s="78"/>
      <c r="AY45" s="122"/>
      <c r="AZ45" s="78"/>
      <c r="BA45" s="122"/>
    </row>
    <row r="46" ht="15.75" customHeight="1">
      <c r="A46" s="181" t="s">
        <v>101</v>
      </c>
      <c r="B46" s="101" t="s">
        <v>38</v>
      </c>
      <c r="C46" s="102"/>
      <c r="D46" s="101" t="s">
        <v>97</v>
      </c>
      <c r="E46" s="102"/>
      <c r="F46" s="98" t="s">
        <v>98</v>
      </c>
      <c r="G46" s="103"/>
      <c r="H46" s="84" t="s">
        <v>98</v>
      </c>
      <c r="I46" s="103"/>
      <c r="J46" s="84" t="s">
        <v>98</v>
      </c>
      <c r="K46" s="85"/>
      <c r="L46" s="86"/>
      <c r="M46" s="95"/>
      <c r="N46" s="185" t="s">
        <v>101</v>
      </c>
      <c r="O46" s="101" t="s">
        <v>38</v>
      </c>
      <c r="P46" s="102"/>
      <c r="Q46" s="101" t="s">
        <v>97</v>
      </c>
      <c r="R46" s="102"/>
      <c r="S46" s="98" t="s">
        <v>98</v>
      </c>
      <c r="T46" s="103"/>
      <c r="U46" s="84" t="s">
        <v>98</v>
      </c>
      <c r="V46" s="103"/>
      <c r="W46" s="84" t="s">
        <v>98</v>
      </c>
      <c r="X46" s="85"/>
      <c r="Y46" s="86"/>
      <c r="Z46" s="31"/>
      <c r="AA46" s="112"/>
      <c r="AB46" s="112"/>
      <c r="AC46" s="113"/>
      <c r="AD46" s="112"/>
      <c r="AE46" s="113"/>
      <c r="AF46" s="112"/>
      <c r="AG46" s="112"/>
      <c r="AH46" s="112"/>
      <c r="AI46" s="112"/>
      <c r="AJ46" s="112"/>
      <c r="AK46" s="112"/>
      <c r="AL46" s="112"/>
      <c r="AM46" s="31"/>
      <c r="AN46" s="181" t="s">
        <v>61</v>
      </c>
      <c r="AO46" s="101" t="s">
        <v>38</v>
      </c>
      <c r="AP46" s="102"/>
      <c r="AQ46" s="101" t="s">
        <v>58</v>
      </c>
      <c r="AR46" s="102"/>
      <c r="AS46" s="84" t="s">
        <v>59</v>
      </c>
      <c r="AT46" s="103"/>
      <c r="AU46" s="84" t="s">
        <v>59</v>
      </c>
      <c r="AV46" s="103"/>
      <c r="AW46" s="84" t="s">
        <v>59</v>
      </c>
      <c r="AX46" s="85"/>
      <c r="AY46" s="86"/>
      <c r="AZ46" s="85"/>
      <c r="BA46" s="86"/>
    </row>
    <row r="47" ht="15.75" customHeight="1">
      <c r="A47" s="112"/>
      <c r="B47" s="112"/>
      <c r="C47" s="113"/>
      <c r="D47" s="112"/>
      <c r="E47" s="113"/>
      <c r="F47" s="111"/>
      <c r="G47" s="112"/>
      <c r="H47" s="112"/>
      <c r="I47" s="112"/>
      <c r="J47" s="112"/>
      <c r="K47" s="111"/>
      <c r="L47" s="111"/>
      <c r="N47" s="112"/>
      <c r="O47" s="112"/>
      <c r="P47" s="113"/>
      <c r="Q47" s="112"/>
      <c r="R47" s="113"/>
      <c r="S47" s="111"/>
      <c r="T47" s="112"/>
      <c r="U47" s="112"/>
      <c r="V47" s="112"/>
      <c r="W47" s="112"/>
      <c r="X47" s="111"/>
      <c r="Y47" s="111"/>
      <c r="AA47" s="112"/>
      <c r="AB47" s="112"/>
      <c r="AC47" s="113"/>
      <c r="AD47" s="112"/>
      <c r="AE47" s="113"/>
      <c r="AF47" s="112"/>
      <c r="AG47" s="112"/>
      <c r="AH47" s="112"/>
      <c r="AI47" s="112"/>
      <c r="AJ47" s="112"/>
      <c r="AK47" s="112"/>
      <c r="AL47" s="112"/>
      <c r="AS47" s="169"/>
    </row>
    <row r="48" ht="15.75" customHeight="1">
      <c r="AS48" s="31"/>
    </row>
    <row r="49" ht="15.75" customHeight="1">
      <c r="A49" s="61" t="s">
        <v>225</v>
      </c>
      <c r="C49" s="64" t="s">
        <v>30</v>
      </c>
      <c r="D49" s="65"/>
      <c r="E49" s="64" t="s">
        <v>31</v>
      </c>
      <c r="F49" s="65"/>
      <c r="G49" s="64" t="s">
        <v>32</v>
      </c>
      <c r="H49" s="65"/>
      <c r="I49" s="64" t="s">
        <v>33</v>
      </c>
      <c r="J49" s="65"/>
      <c r="K49" s="64" t="s">
        <v>34</v>
      </c>
      <c r="L49" s="65"/>
      <c r="N49" s="61" t="s">
        <v>226</v>
      </c>
      <c r="P49" s="64" t="s">
        <v>30</v>
      </c>
      <c r="Q49" s="65"/>
      <c r="R49" s="64" t="s">
        <v>31</v>
      </c>
      <c r="S49" s="65"/>
      <c r="T49" s="64" t="s">
        <v>32</v>
      </c>
      <c r="U49" s="65"/>
      <c r="V49" s="64" t="s">
        <v>33</v>
      </c>
      <c r="W49" s="65"/>
      <c r="X49" s="64" t="s">
        <v>34</v>
      </c>
      <c r="Y49" s="65"/>
      <c r="AA49" s="61" t="s">
        <v>227</v>
      </c>
      <c r="AC49" s="64" t="s">
        <v>30</v>
      </c>
      <c r="AD49" s="65"/>
      <c r="AE49" s="64" t="s">
        <v>31</v>
      </c>
      <c r="AF49" s="65"/>
      <c r="AG49" s="64" t="s">
        <v>32</v>
      </c>
      <c r="AH49" s="65"/>
      <c r="AI49" s="64" t="s">
        <v>33</v>
      </c>
      <c r="AJ49" s="65"/>
      <c r="AK49" s="64" t="s">
        <v>34</v>
      </c>
      <c r="AL49" s="65"/>
      <c r="AN49" s="61" t="s">
        <v>228</v>
      </c>
      <c r="AP49" s="64" t="s">
        <v>30</v>
      </c>
      <c r="AQ49" s="65"/>
      <c r="AR49" s="64" t="s">
        <v>31</v>
      </c>
      <c r="AS49" s="65"/>
      <c r="AT49" s="64" t="s">
        <v>32</v>
      </c>
      <c r="AU49" s="65"/>
      <c r="AV49" s="64" t="s">
        <v>33</v>
      </c>
      <c r="AW49" s="65"/>
      <c r="AX49" s="64" t="s">
        <v>34</v>
      </c>
      <c r="AY49" s="65"/>
      <c r="AZ49" s="64" t="s">
        <v>207</v>
      </c>
      <c r="BA49" s="63"/>
    </row>
    <row r="50" ht="15.75" customHeight="1">
      <c r="A50" s="176" t="s">
        <v>7</v>
      </c>
      <c r="B50" s="88" t="s">
        <v>38</v>
      </c>
      <c r="C50" s="153">
        <f>IF(('Initial Inputs'!$F$8="kg"),MROUND(($E$5*0.875),2.5),MROUND(($E$5*0.875),5))</f>
        <v>300</v>
      </c>
      <c r="D50" s="69" t="s">
        <v>86</v>
      </c>
      <c r="E50" s="153">
        <f t="shared" ref="E50:J50" si="29">C50</f>
        <v>300</v>
      </c>
      <c r="F50" s="69" t="str">
        <f t="shared" si="29"/>
        <v>x3</v>
      </c>
      <c r="G50" s="153">
        <f t="shared" si="29"/>
        <v>300</v>
      </c>
      <c r="H50" s="69" t="str">
        <f t="shared" si="29"/>
        <v>x3</v>
      </c>
      <c r="I50" s="153">
        <f t="shared" si="29"/>
        <v>300</v>
      </c>
      <c r="J50" s="69" t="str">
        <f t="shared" si="29"/>
        <v>x3</v>
      </c>
      <c r="K50" s="70"/>
      <c r="L50" s="71"/>
      <c r="N50" s="176" t="s">
        <v>110</v>
      </c>
      <c r="O50" s="88" t="s">
        <v>38</v>
      </c>
      <c r="P50" s="153">
        <f>IF(('Initial Inputs'!$F$8="kg"),MROUND(($E$5*0.875),2.5),MROUND(($E$5*0.875),5))</f>
        <v>300</v>
      </c>
      <c r="Q50" s="69" t="s">
        <v>86</v>
      </c>
      <c r="R50" s="153">
        <f t="shared" ref="R50:X50" si="30">P50</f>
        <v>300</v>
      </c>
      <c r="S50" s="69" t="str">
        <f t="shared" si="30"/>
        <v>x3</v>
      </c>
      <c r="T50" s="153">
        <f t="shared" si="30"/>
        <v>300</v>
      </c>
      <c r="U50" s="69" t="str">
        <f t="shared" si="30"/>
        <v>x3</v>
      </c>
      <c r="V50" s="153">
        <f t="shared" si="30"/>
        <v>300</v>
      </c>
      <c r="W50" s="69" t="str">
        <f t="shared" si="30"/>
        <v>x3</v>
      </c>
      <c r="X50" s="153">
        <f t="shared" si="30"/>
        <v>300</v>
      </c>
      <c r="Y50" s="69" t="s">
        <v>84</v>
      </c>
      <c r="Z50" s="95"/>
      <c r="AA50" s="191" t="s">
        <v>111</v>
      </c>
      <c r="AB50" s="88" t="s">
        <v>38</v>
      </c>
      <c r="AC50" s="156">
        <f>IF(('Initial Inputs'!$F$8="kg"),MROUND(($AE$5*0.875),2.5),MROUND(($AE$5*0.875),5))</f>
        <v>375</v>
      </c>
      <c r="AD50" s="69" t="s">
        <v>86</v>
      </c>
      <c r="AE50" s="156">
        <f t="shared" ref="AE50:AK50" si="31">AC50</f>
        <v>375</v>
      </c>
      <c r="AF50" s="69" t="str">
        <f t="shared" si="31"/>
        <v>x3</v>
      </c>
      <c r="AG50" s="156">
        <f t="shared" si="31"/>
        <v>375</v>
      </c>
      <c r="AH50" s="69" t="str">
        <f t="shared" si="31"/>
        <v>x3</v>
      </c>
      <c r="AI50" s="156">
        <f t="shared" si="31"/>
        <v>375</v>
      </c>
      <c r="AJ50" s="69" t="str">
        <f t="shared" si="31"/>
        <v>x3</v>
      </c>
      <c r="AK50" s="156">
        <f t="shared" si="31"/>
        <v>375</v>
      </c>
      <c r="AL50" s="69" t="s">
        <v>84</v>
      </c>
      <c r="AM50" s="186"/>
      <c r="AN50" s="191" t="s">
        <v>111</v>
      </c>
      <c r="AO50" s="88" t="s">
        <v>38</v>
      </c>
      <c r="AP50" s="156">
        <f>IF(('Initial Inputs'!$F$8="kg"),MROUND(($AR$5*0.875),2.5),MROUND(($AR$5*0.875),5))</f>
        <v>390</v>
      </c>
      <c r="AQ50" s="69" t="s">
        <v>86</v>
      </c>
      <c r="AR50" s="156">
        <f t="shared" ref="AR50:AZ50" si="32">AP50</f>
        <v>390</v>
      </c>
      <c r="AS50" s="69" t="str">
        <f t="shared" si="32"/>
        <v>x3</v>
      </c>
      <c r="AT50" s="156">
        <f t="shared" si="32"/>
        <v>390</v>
      </c>
      <c r="AU50" s="69" t="str">
        <f t="shared" si="32"/>
        <v>x3</v>
      </c>
      <c r="AV50" s="156">
        <f t="shared" si="32"/>
        <v>390</v>
      </c>
      <c r="AW50" s="69" t="str">
        <f t="shared" si="32"/>
        <v>x3</v>
      </c>
      <c r="AX50" s="156">
        <f t="shared" si="32"/>
        <v>390</v>
      </c>
      <c r="AY50" s="69" t="str">
        <f t="shared" si="32"/>
        <v>x3</v>
      </c>
      <c r="AZ50" s="156">
        <f t="shared" si="32"/>
        <v>390</v>
      </c>
      <c r="BA50" s="69" t="s">
        <v>84</v>
      </c>
    </row>
    <row r="51" ht="15.75" customHeight="1">
      <c r="A51" s="178" t="s">
        <v>113</v>
      </c>
      <c r="B51" s="90" t="s">
        <v>38</v>
      </c>
      <c r="C51" s="91"/>
      <c r="D51" s="76" t="s">
        <v>97</v>
      </c>
      <c r="E51" s="92"/>
      <c r="F51" s="76" t="s">
        <v>98</v>
      </c>
      <c r="G51" s="94"/>
      <c r="H51" s="76" t="s">
        <v>98</v>
      </c>
      <c r="I51" s="94"/>
      <c r="J51" s="76" t="s">
        <v>98</v>
      </c>
      <c r="K51" s="78"/>
      <c r="L51" s="79"/>
      <c r="M51" s="95"/>
      <c r="N51" s="182" t="s">
        <v>113</v>
      </c>
      <c r="O51" s="90" t="s">
        <v>38</v>
      </c>
      <c r="P51" s="91"/>
      <c r="Q51" s="76" t="s">
        <v>97</v>
      </c>
      <c r="R51" s="92"/>
      <c r="S51" s="76" t="s">
        <v>98</v>
      </c>
      <c r="T51" s="94"/>
      <c r="U51" s="76" t="s">
        <v>98</v>
      </c>
      <c r="V51" s="94"/>
      <c r="W51" s="76" t="s">
        <v>98</v>
      </c>
      <c r="X51" s="78"/>
      <c r="Y51" s="79"/>
      <c r="Z51" s="95"/>
      <c r="AA51" s="182" t="s">
        <v>113</v>
      </c>
      <c r="AB51" s="90" t="s">
        <v>38</v>
      </c>
      <c r="AC51" s="91"/>
      <c r="AD51" s="76" t="s">
        <v>97</v>
      </c>
      <c r="AE51" s="92"/>
      <c r="AF51" s="76" t="s">
        <v>98</v>
      </c>
      <c r="AG51" s="94"/>
      <c r="AH51" s="76" t="s">
        <v>98</v>
      </c>
      <c r="AI51" s="94"/>
      <c r="AJ51" s="76" t="s">
        <v>98</v>
      </c>
      <c r="AK51" s="78"/>
      <c r="AL51" s="79"/>
      <c r="AM51" s="186"/>
      <c r="AN51" s="182" t="s">
        <v>48</v>
      </c>
      <c r="AO51" s="90" t="s">
        <v>38</v>
      </c>
      <c r="AP51" s="91"/>
      <c r="AQ51" s="76" t="s">
        <v>47</v>
      </c>
      <c r="AR51" s="92"/>
      <c r="AS51" s="76" t="str">
        <f t="shared" ref="AS51:AS52" si="33">AQ51</f>
        <v>x6-8</v>
      </c>
      <c r="AT51" s="78"/>
      <c r="AU51" s="79"/>
      <c r="AV51" s="78"/>
      <c r="AW51" s="79"/>
      <c r="AX51" s="78"/>
      <c r="AY51" s="79"/>
      <c r="AZ51" s="78"/>
      <c r="BA51" s="79"/>
    </row>
    <row r="52" ht="15.75" customHeight="1">
      <c r="A52" s="178" t="s">
        <v>114</v>
      </c>
      <c r="B52" s="90" t="s">
        <v>38</v>
      </c>
      <c r="C52" s="92"/>
      <c r="D52" s="90" t="s">
        <v>97</v>
      </c>
      <c r="E52" s="92"/>
      <c r="F52" s="76" t="s">
        <v>98</v>
      </c>
      <c r="G52" s="94"/>
      <c r="H52" s="76" t="s">
        <v>98</v>
      </c>
      <c r="I52" s="94"/>
      <c r="J52" s="76" t="s">
        <v>98</v>
      </c>
      <c r="K52" s="78"/>
      <c r="L52" s="79"/>
      <c r="M52" s="95"/>
      <c r="N52" s="182" t="s">
        <v>114</v>
      </c>
      <c r="O52" s="90" t="s">
        <v>38</v>
      </c>
      <c r="P52" s="92"/>
      <c r="Q52" s="90" t="s">
        <v>97</v>
      </c>
      <c r="R52" s="92"/>
      <c r="S52" s="76" t="s">
        <v>98</v>
      </c>
      <c r="T52" s="94"/>
      <c r="U52" s="76" t="s">
        <v>98</v>
      </c>
      <c r="V52" s="94"/>
      <c r="W52" s="76" t="s">
        <v>98</v>
      </c>
      <c r="X52" s="78"/>
      <c r="Y52" s="79"/>
      <c r="Z52" s="95"/>
      <c r="AA52" s="182" t="s">
        <v>114</v>
      </c>
      <c r="AB52" s="90" t="s">
        <v>38</v>
      </c>
      <c r="AC52" s="92"/>
      <c r="AD52" s="90" t="s">
        <v>97</v>
      </c>
      <c r="AE52" s="92"/>
      <c r="AF52" s="76" t="s">
        <v>98</v>
      </c>
      <c r="AG52" s="94"/>
      <c r="AH52" s="76" t="s">
        <v>98</v>
      </c>
      <c r="AI52" s="94"/>
      <c r="AJ52" s="76" t="s">
        <v>98</v>
      </c>
      <c r="AK52" s="78"/>
      <c r="AL52" s="79"/>
      <c r="AM52" s="186"/>
      <c r="AN52" s="182" t="s">
        <v>67</v>
      </c>
      <c r="AO52" s="90" t="s">
        <v>38</v>
      </c>
      <c r="AP52" s="92"/>
      <c r="AQ52" s="76" t="s">
        <v>47</v>
      </c>
      <c r="AR52" s="92"/>
      <c r="AS52" s="76" t="str">
        <f t="shared" si="33"/>
        <v>x6-8</v>
      </c>
      <c r="AT52" s="94"/>
      <c r="AU52" s="76" t="str">
        <f>AS52</f>
        <v>x6-8</v>
      </c>
      <c r="AV52" s="94"/>
      <c r="AW52" s="76" t="str">
        <f>AU52</f>
        <v>x6-8</v>
      </c>
      <c r="AX52" s="78"/>
      <c r="AY52" s="79"/>
      <c r="AZ52" s="78"/>
      <c r="BA52" s="79"/>
    </row>
    <row r="53" ht="15.75" customHeight="1">
      <c r="A53" s="178" t="s">
        <v>69</v>
      </c>
      <c r="B53" s="90" t="s">
        <v>38</v>
      </c>
      <c r="C53" s="92"/>
      <c r="D53" s="90" t="s">
        <v>70</v>
      </c>
      <c r="E53" s="92"/>
      <c r="F53" s="90" t="s">
        <v>70</v>
      </c>
      <c r="G53" s="94"/>
      <c r="H53" s="90" t="s">
        <v>70</v>
      </c>
      <c r="I53" s="78"/>
      <c r="J53" s="79"/>
      <c r="K53" s="109"/>
      <c r="L53" s="108"/>
      <c r="M53" s="95"/>
      <c r="N53" s="182" t="s">
        <v>69</v>
      </c>
      <c r="O53" s="90" t="s">
        <v>38</v>
      </c>
      <c r="P53" s="92"/>
      <c r="Q53" s="90" t="s">
        <v>70</v>
      </c>
      <c r="R53" s="92"/>
      <c r="S53" s="90" t="s">
        <v>70</v>
      </c>
      <c r="T53" s="94"/>
      <c r="U53" s="90" t="s">
        <v>70</v>
      </c>
      <c r="V53" s="78"/>
      <c r="W53" s="79"/>
      <c r="X53" s="109"/>
      <c r="Y53" s="108"/>
      <c r="Z53" s="95"/>
      <c r="AA53" s="182" t="s">
        <v>69</v>
      </c>
      <c r="AB53" s="90" t="s">
        <v>38</v>
      </c>
      <c r="AC53" s="92"/>
      <c r="AD53" s="90" t="s">
        <v>70</v>
      </c>
      <c r="AE53" s="92"/>
      <c r="AF53" s="90" t="s">
        <v>70</v>
      </c>
      <c r="AG53" s="94"/>
      <c r="AH53" s="90" t="s">
        <v>70</v>
      </c>
      <c r="AI53" s="78"/>
      <c r="AJ53" s="79"/>
      <c r="AK53" s="109"/>
      <c r="AL53" s="108"/>
      <c r="AM53" s="186"/>
      <c r="AN53" s="182" t="s">
        <v>69</v>
      </c>
      <c r="AO53" s="90" t="s">
        <v>38</v>
      </c>
      <c r="AP53" s="92"/>
      <c r="AQ53" s="90" t="s">
        <v>70</v>
      </c>
      <c r="AR53" s="92"/>
      <c r="AS53" s="90" t="s">
        <v>70</v>
      </c>
      <c r="AT53" s="94"/>
      <c r="AU53" s="90" t="s">
        <v>70</v>
      </c>
      <c r="AV53" s="78"/>
      <c r="AW53" s="79"/>
      <c r="AX53" s="109"/>
      <c r="AY53" s="108"/>
      <c r="AZ53" s="109"/>
      <c r="BA53" s="108"/>
    </row>
    <row r="54" ht="15.75" customHeight="1">
      <c r="A54" s="178" t="s">
        <v>71</v>
      </c>
      <c r="B54" s="90" t="s">
        <v>38</v>
      </c>
      <c r="C54" s="92"/>
      <c r="D54" s="90" t="s">
        <v>72</v>
      </c>
      <c r="E54" s="92"/>
      <c r="F54" s="90" t="s">
        <v>72</v>
      </c>
      <c r="G54" s="94"/>
      <c r="H54" s="90" t="s">
        <v>72</v>
      </c>
      <c r="I54" s="78"/>
      <c r="J54" s="79"/>
      <c r="K54" s="109"/>
      <c r="L54" s="108"/>
      <c r="M54" s="95"/>
      <c r="N54" s="182" t="s">
        <v>71</v>
      </c>
      <c r="O54" s="90" t="s">
        <v>38</v>
      </c>
      <c r="P54" s="92"/>
      <c r="Q54" s="90" t="s">
        <v>72</v>
      </c>
      <c r="R54" s="92"/>
      <c r="S54" s="90" t="s">
        <v>72</v>
      </c>
      <c r="T54" s="94"/>
      <c r="U54" s="90" t="s">
        <v>72</v>
      </c>
      <c r="V54" s="78"/>
      <c r="W54" s="79"/>
      <c r="X54" s="109"/>
      <c r="Y54" s="108"/>
      <c r="Z54" s="95"/>
      <c r="AA54" s="182" t="s">
        <v>71</v>
      </c>
      <c r="AB54" s="90" t="s">
        <v>38</v>
      </c>
      <c r="AC54" s="92"/>
      <c r="AD54" s="90" t="s">
        <v>72</v>
      </c>
      <c r="AE54" s="92"/>
      <c r="AF54" s="90" t="s">
        <v>72</v>
      </c>
      <c r="AG54" s="94"/>
      <c r="AH54" s="90" t="s">
        <v>72</v>
      </c>
      <c r="AI54" s="78"/>
      <c r="AJ54" s="79"/>
      <c r="AK54" s="109"/>
      <c r="AL54" s="108"/>
      <c r="AM54" s="186"/>
      <c r="AN54" s="182" t="s">
        <v>71</v>
      </c>
      <c r="AO54" s="90" t="s">
        <v>38</v>
      </c>
      <c r="AP54" s="92"/>
      <c r="AQ54" s="90" t="s">
        <v>72</v>
      </c>
      <c r="AR54" s="92"/>
      <c r="AS54" s="90" t="s">
        <v>72</v>
      </c>
      <c r="AT54" s="94"/>
      <c r="AU54" s="90" t="s">
        <v>72</v>
      </c>
      <c r="AV54" s="78"/>
      <c r="AW54" s="79"/>
      <c r="AX54" s="109"/>
      <c r="AY54" s="108"/>
      <c r="AZ54" s="109"/>
      <c r="BA54" s="108"/>
    </row>
    <row r="55" ht="15.75" customHeight="1">
      <c r="A55" s="178" t="s">
        <v>53</v>
      </c>
      <c r="B55" s="90" t="s">
        <v>38</v>
      </c>
      <c r="C55" s="92"/>
      <c r="D55" s="90" t="s">
        <v>90</v>
      </c>
      <c r="E55" s="92"/>
      <c r="F55" s="90" t="s">
        <v>90</v>
      </c>
      <c r="G55" s="94"/>
      <c r="H55" s="90" t="s">
        <v>90</v>
      </c>
      <c r="I55" s="78"/>
      <c r="J55" s="79"/>
      <c r="K55" s="109"/>
      <c r="L55" s="108"/>
      <c r="M55" s="95"/>
      <c r="N55" s="182" t="s">
        <v>53</v>
      </c>
      <c r="O55" s="90" t="s">
        <v>38</v>
      </c>
      <c r="P55" s="92"/>
      <c r="Q55" s="90" t="s">
        <v>90</v>
      </c>
      <c r="R55" s="92"/>
      <c r="S55" s="90" t="s">
        <v>90</v>
      </c>
      <c r="T55" s="94"/>
      <c r="U55" s="90" t="s">
        <v>90</v>
      </c>
      <c r="V55" s="78"/>
      <c r="W55" s="79"/>
      <c r="X55" s="109"/>
      <c r="Y55" s="108"/>
      <c r="Z55" s="95"/>
      <c r="AA55" s="182" t="s">
        <v>53</v>
      </c>
      <c r="AB55" s="90" t="s">
        <v>38</v>
      </c>
      <c r="AC55" s="92"/>
      <c r="AD55" s="90" t="s">
        <v>90</v>
      </c>
      <c r="AE55" s="92"/>
      <c r="AF55" s="90" t="s">
        <v>90</v>
      </c>
      <c r="AG55" s="94"/>
      <c r="AH55" s="90" t="s">
        <v>90</v>
      </c>
      <c r="AI55" s="78"/>
      <c r="AJ55" s="79"/>
      <c r="AK55" s="109"/>
      <c r="AL55" s="108"/>
      <c r="AM55" s="186"/>
      <c r="AN55" s="182" t="s">
        <v>53</v>
      </c>
      <c r="AO55" s="90" t="s">
        <v>38</v>
      </c>
      <c r="AP55" s="92"/>
      <c r="AQ55" s="76" t="s">
        <v>47</v>
      </c>
      <c r="AR55" s="92"/>
      <c r="AS55" s="90" t="str">
        <f>AQ55</f>
        <v>x6-8</v>
      </c>
      <c r="AT55" s="94"/>
      <c r="AU55" s="90" t="str">
        <f>AS55</f>
        <v>x6-8</v>
      </c>
      <c r="AV55" s="94"/>
      <c r="AW55" s="76" t="str">
        <f>AU55</f>
        <v>x6-8</v>
      </c>
      <c r="AX55" s="109"/>
      <c r="AY55" s="108"/>
      <c r="AZ55" s="109"/>
      <c r="BA55" s="108"/>
    </row>
    <row r="56" ht="15.75" customHeight="1">
      <c r="A56" s="181" t="s">
        <v>73</v>
      </c>
      <c r="B56" s="101" t="s">
        <v>38</v>
      </c>
      <c r="C56" s="102"/>
      <c r="D56" s="101" t="s">
        <v>97</v>
      </c>
      <c r="E56" s="102"/>
      <c r="F56" s="84" t="s">
        <v>98</v>
      </c>
      <c r="G56" s="103"/>
      <c r="H56" s="84" t="s">
        <v>98</v>
      </c>
      <c r="I56" s="103"/>
      <c r="J56" s="84" t="s">
        <v>98</v>
      </c>
      <c r="K56" s="85"/>
      <c r="L56" s="86"/>
      <c r="M56" s="95"/>
      <c r="N56" s="185" t="s">
        <v>73</v>
      </c>
      <c r="O56" s="101" t="s">
        <v>38</v>
      </c>
      <c r="P56" s="102"/>
      <c r="Q56" s="101" t="s">
        <v>97</v>
      </c>
      <c r="R56" s="102"/>
      <c r="S56" s="84" t="s">
        <v>98</v>
      </c>
      <c r="T56" s="103"/>
      <c r="U56" s="84" t="s">
        <v>98</v>
      </c>
      <c r="V56" s="103"/>
      <c r="W56" s="84" t="s">
        <v>98</v>
      </c>
      <c r="X56" s="85"/>
      <c r="Y56" s="86"/>
      <c r="Z56" s="95"/>
      <c r="AA56" s="185" t="s">
        <v>73</v>
      </c>
      <c r="AB56" s="101" t="s">
        <v>38</v>
      </c>
      <c r="AC56" s="102"/>
      <c r="AD56" s="101" t="s">
        <v>97</v>
      </c>
      <c r="AE56" s="102"/>
      <c r="AF56" s="84" t="s">
        <v>98</v>
      </c>
      <c r="AG56" s="103"/>
      <c r="AH56" s="84" t="s">
        <v>98</v>
      </c>
      <c r="AI56" s="103"/>
      <c r="AJ56" s="84" t="s">
        <v>98</v>
      </c>
      <c r="AK56" s="85"/>
      <c r="AL56" s="86"/>
      <c r="AM56" s="186"/>
      <c r="AN56" s="185" t="s">
        <v>73</v>
      </c>
      <c r="AO56" s="101" t="s">
        <v>38</v>
      </c>
      <c r="AP56" s="102"/>
      <c r="AQ56" s="101" t="s">
        <v>97</v>
      </c>
      <c r="AR56" s="102"/>
      <c r="AS56" s="84" t="s">
        <v>98</v>
      </c>
      <c r="AT56" s="103"/>
      <c r="AU56" s="84" t="s">
        <v>98</v>
      </c>
      <c r="AV56" s="103"/>
      <c r="AW56" s="84" t="s">
        <v>98</v>
      </c>
      <c r="AX56" s="85"/>
      <c r="AY56" s="86"/>
      <c r="AZ56" s="85"/>
      <c r="BA56" s="86"/>
    </row>
    <row r="57" ht="15.75" customHeight="1">
      <c r="AT57" s="112"/>
      <c r="AU57" s="112"/>
      <c r="AV57" s="112"/>
      <c r="AW57" s="112"/>
      <c r="AX57" s="112"/>
      <c r="AY57" s="112"/>
    </row>
    <row r="58" ht="15.75" customHeight="1">
      <c r="A58" s="115" t="s">
        <v>229</v>
      </c>
      <c r="N58" s="115" t="s">
        <v>230</v>
      </c>
      <c r="AA58" s="115" t="s">
        <v>231</v>
      </c>
      <c r="AN58" s="115" t="s">
        <v>232</v>
      </c>
      <c r="AS58" s="112"/>
      <c r="AT58" s="112"/>
      <c r="AU58" s="112"/>
      <c r="AV58" s="112"/>
      <c r="AW58" s="112"/>
      <c r="AX58" s="112"/>
      <c r="AY58" s="112"/>
    </row>
    <row r="59" ht="15.75" customHeight="1">
      <c r="AS59" s="112"/>
      <c r="AT59" s="112"/>
      <c r="AU59" s="112"/>
      <c r="AV59" s="112"/>
      <c r="AW59" s="112"/>
      <c r="AX59" s="112"/>
      <c r="AY59" s="112"/>
    </row>
    <row r="60" ht="15.75" customHeight="1">
      <c r="AS60" s="31"/>
      <c r="AT60" s="31"/>
      <c r="AU60" s="31"/>
      <c r="AV60" s="31"/>
      <c r="AW60" s="31"/>
      <c r="AX60" s="31"/>
      <c r="AY60" s="31"/>
    </row>
    <row r="61" ht="15.75" customHeight="1">
      <c r="N61" s="117"/>
      <c r="O61" s="118" t="s">
        <v>233</v>
      </c>
      <c r="P61" s="119"/>
      <c r="Q61" s="119"/>
      <c r="R61" s="119"/>
      <c r="S61" s="120"/>
      <c r="T61" s="121"/>
      <c r="U61" s="121"/>
      <c r="AA61" s="117"/>
      <c r="AB61" s="118" t="s">
        <v>234</v>
      </c>
      <c r="AC61" s="119"/>
      <c r="AD61" s="119"/>
      <c r="AE61" s="119"/>
      <c r="AF61" s="120"/>
      <c r="AN61" s="117"/>
      <c r="AO61" s="118" t="s">
        <v>235</v>
      </c>
      <c r="AP61" s="119"/>
      <c r="AQ61" s="119"/>
      <c r="AR61" s="120"/>
      <c r="AS61" s="31"/>
      <c r="AT61" s="31"/>
      <c r="AU61" s="31"/>
      <c r="AV61" s="31"/>
      <c r="AW61" s="31"/>
      <c r="AX61" s="31"/>
      <c r="AY61" s="31"/>
    </row>
    <row r="62" ht="15.75" customHeight="1">
      <c r="N62" s="123"/>
      <c r="O62" s="124"/>
      <c r="P62" s="4"/>
      <c r="Q62" s="4"/>
      <c r="R62" s="4"/>
      <c r="S62" s="125"/>
      <c r="AA62" s="123"/>
      <c r="AB62" s="124"/>
      <c r="AC62" s="4"/>
      <c r="AD62" s="4"/>
      <c r="AE62" s="4"/>
      <c r="AF62" s="125"/>
      <c r="AN62" s="123"/>
      <c r="AO62" s="124"/>
      <c r="AP62" s="4"/>
      <c r="AQ62" s="4"/>
      <c r="AR62" s="125"/>
      <c r="AS62" s="31"/>
      <c r="AT62" s="31"/>
      <c r="AU62" s="31"/>
      <c r="AV62" s="31"/>
      <c r="AW62" s="31"/>
      <c r="AX62" s="31"/>
      <c r="AY62" s="31"/>
    </row>
    <row r="63" ht="15.75" customHeight="1">
      <c r="N63" s="126" t="s">
        <v>102</v>
      </c>
      <c r="O63" s="127" t="s">
        <v>174</v>
      </c>
      <c r="P63" s="127" t="s">
        <v>175</v>
      </c>
      <c r="Q63" s="127" t="s">
        <v>125</v>
      </c>
      <c r="R63" s="127" t="s">
        <v>126</v>
      </c>
      <c r="S63" s="142" t="s">
        <v>189</v>
      </c>
      <c r="AA63" s="126" t="s">
        <v>102</v>
      </c>
      <c r="AB63" s="127" t="s">
        <v>174</v>
      </c>
      <c r="AC63" s="127" t="s">
        <v>175</v>
      </c>
      <c r="AD63" s="127" t="s">
        <v>125</v>
      </c>
      <c r="AE63" s="127" t="s">
        <v>126</v>
      </c>
      <c r="AF63" s="142" t="s">
        <v>189</v>
      </c>
      <c r="AN63" s="126" t="s">
        <v>102</v>
      </c>
      <c r="AO63" s="127" t="s">
        <v>174</v>
      </c>
      <c r="AP63" s="127" t="s">
        <v>175</v>
      </c>
      <c r="AQ63" s="127" t="s">
        <v>125</v>
      </c>
      <c r="AR63" s="128" t="s">
        <v>176</v>
      </c>
      <c r="AS63" s="31"/>
      <c r="AT63" s="31"/>
      <c r="AU63" s="31"/>
      <c r="AV63" s="31"/>
      <c r="AW63" s="31"/>
      <c r="AX63" s="31"/>
      <c r="AY63" s="31"/>
    </row>
    <row r="64" ht="22.5" customHeight="1">
      <c r="N64" s="130" t="s">
        <v>106</v>
      </c>
      <c r="O64" s="168">
        <f>IF(('Initial Inputs'!$F$8="kg"),MROUND(($E$5*0.97),2.5),MROUND(($E$5*0.97),5))</f>
        <v>330</v>
      </c>
      <c r="P64" s="168">
        <f>IF(('Initial Inputs'!$F$8="kg"),MROUND(($E$5*1),2.5),MROUND(($E$5*1),5))</f>
        <v>340</v>
      </c>
      <c r="Q64" s="168">
        <f>IF(('Initial Inputs'!$F$8="kg"),MROUND(($E$5*1.015),2.5),MROUND(($E$5*1.015),5))</f>
        <v>345</v>
      </c>
      <c r="R64" s="168">
        <f>IF(('Initial Inputs'!$F$8="kg"),MROUND(($E$5*1.03),2.5),MROUND(($E$5*1.03),5))</f>
        <v>350</v>
      </c>
      <c r="S64" s="168">
        <f>IF(('Initial Inputs'!$F$8="kg"),MROUND(($E$5*1.04),2.5),MROUND(($E$5*1.04),5))</f>
        <v>355</v>
      </c>
      <c r="AA64" s="130" t="s">
        <v>106</v>
      </c>
      <c r="AB64" s="168">
        <f>IF(('Initial Inputs'!$F$8="kg"),MROUND(($AE$5/1.03),2.5),MROUND(($AE$5/1.03),5))</f>
        <v>415</v>
      </c>
      <c r="AC64" s="168">
        <f>IF(('Initial Inputs'!$F$8="kg"),MROUND(($AE$5*1),2.5),MROUND(($AE$5*1),5))</f>
        <v>430</v>
      </c>
      <c r="AD64" s="168">
        <f>IF(('Initial Inputs'!$F$8="kg"),MROUND(($AE$5*1.015),2.5),MROUND(($AE$5*1.015),5))</f>
        <v>435</v>
      </c>
      <c r="AE64" s="168">
        <f>IF(('Initial Inputs'!$F$8="kg"),MROUND(($AE$5*1.03),2.5),MROUND(($AE$5*1.03),5))</f>
        <v>445</v>
      </c>
      <c r="AF64" s="168">
        <f>IF(('Initial Inputs'!$F$8="kg"),MROUND(($AE$5*1.045),2.5),MROUND(($AE$5*1.045),5))</f>
        <v>450</v>
      </c>
      <c r="AH64" s="159"/>
      <c r="AN64" s="130" t="s">
        <v>106</v>
      </c>
      <c r="AO64" s="168">
        <f>IF(('Initial Inputs'!$F$8="kg"),MROUND(($E$5*0.98),2.5),MROUND(($E$5*0.98),5))</f>
        <v>335</v>
      </c>
      <c r="AP64" s="168">
        <f>IF(('Initial Inputs'!$F$8="kg"),MROUND(($E$5*1),2.5),MROUND(($E$5*1),5))</f>
        <v>340</v>
      </c>
      <c r="AQ64" s="168">
        <f>IF(('Initial Inputs'!$F$8="kg"),MROUND(($E$5*1.015),2.5),MROUND(($E$5*1.015),5))</f>
        <v>345</v>
      </c>
      <c r="AR64" s="168">
        <f>IF(('Initial Inputs'!$F$8="kg"),MROUND(($E$5*1.025),2.5),MROUND(($E$5*1.025),5))</f>
        <v>350</v>
      </c>
    </row>
    <row r="65" ht="15.75" customHeight="1">
      <c r="N65" s="123"/>
      <c r="O65" s="4"/>
      <c r="P65" s="4"/>
      <c r="Q65" s="4"/>
      <c r="R65" s="4"/>
      <c r="S65" s="125"/>
      <c r="AA65" s="123"/>
      <c r="AB65" s="192"/>
      <c r="AC65" s="192"/>
      <c r="AD65" s="192"/>
      <c r="AE65" s="192"/>
      <c r="AF65" s="193"/>
      <c r="AN65" s="123"/>
      <c r="AO65" s="4"/>
      <c r="AP65" s="4"/>
      <c r="AQ65" s="4"/>
      <c r="AR65" s="125"/>
    </row>
    <row r="66" ht="15.75" customHeight="1">
      <c r="N66" s="126" t="s">
        <v>102</v>
      </c>
      <c r="O66" s="127" t="s">
        <v>174</v>
      </c>
      <c r="P66" s="127" t="s">
        <v>175</v>
      </c>
      <c r="Q66" s="127" t="s">
        <v>125</v>
      </c>
      <c r="R66" s="127" t="s">
        <v>126</v>
      </c>
      <c r="S66" s="142" t="s">
        <v>189</v>
      </c>
      <c r="AA66" s="126" t="s">
        <v>102</v>
      </c>
      <c r="AB66" s="127" t="s">
        <v>174</v>
      </c>
      <c r="AC66" s="127" t="s">
        <v>175</v>
      </c>
      <c r="AD66" s="127" t="s">
        <v>125</v>
      </c>
      <c r="AE66" s="127" t="s">
        <v>126</v>
      </c>
      <c r="AF66" s="142" t="s">
        <v>189</v>
      </c>
      <c r="AN66" s="126" t="s">
        <v>102</v>
      </c>
      <c r="AO66" s="127" t="s">
        <v>174</v>
      </c>
      <c r="AP66" s="127" t="s">
        <v>175</v>
      </c>
      <c r="AQ66" s="127" t="s">
        <v>125</v>
      </c>
      <c r="AR66" s="128" t="s">
        <v>176</v>
      </c>
    </row>
    <row r="67" ht="22.5" customHeight="1">
      <c r="N67" s="130" t="s">
        <v>112</v>
      </c>
      <c r="O67" s="168">
        <f>IF(('Initial Inputs'!$F$8="kg"),MROUND(($E$6*0.97),2.5),MROUND(($E$6*0.97),5))</f>
        <v>255</v>
      </c>
      <c r="P67" s="168">
        <f>IF(('Initial Inputs'!$F$8="kg"),MROUND(($E$6*1),2.5),MROUND(($E$6*1),5))</f>
        <v>265</v>
      </c>
      <c r="Q67" s="168">
        <f>IF(('Initial Inputs'!$F$8="kg"),MROUND(($E$6*1.015),2.5),MROUND(($E$6*1.015),5))</f>
        <v>270</v>
      </c>
      <c r="R67" s="168">
        <f>IF(('Initial Inputs'!$F$8="kg"),MROUND(($E$6*1.03),2.5),MROUND(($E$6*1.03),5))</f>
        <v>275</v>
      </c>
      <c r="S67" s="168">
        <f>IF(('Initial Inputs'!$F$8="kg"),MROUND(($E$6*1.04),2.5),MROUND(($E$6*1.04),5))</f>
        <v>275</v>
      </c>
      <c r="AA67" s="130" t="s">
        <v>112</v>
      </c>
      <c r="AB67" s="168">
        <f>IF(('Initial Inputs'!$F$8="kg"),MROUND(($AE$6/1.03),2.5),MROUND(($AE$6/1.03),5))</f>
        <v>305</v>
      </c>
      <c r="AC67" s="168">
        <f>IF(('Initial Inputs'!$F$8="kg"),MROUND(($AE$6*1),2.5),MROUND(($AE$6*1),5))</f>
        <v>315</v>
      </c>
      <c r="AD67" s="168">
        <f>IF(('Initial Inputs'!$F$8="kg"),MROUND(($AE$6*1.015),2.5),MROUND(($AE$6*1.015),5))</f>
        <v>320</v>
      </c>
      <c r="AE67" s="168">
        <f>IF(('Initial Inputs'!$F$8="kg"),MROUND(($AE$6*1.03),2.5),MROUND(($AE$6*1.03),5))</f>
        <v>325</v>
      </c>
      <c r="AF67" s="168">
        <f>IF(('Initial Inputs'!$F$8="kg"),MROUND(($AE$6*1.04),2.5),MROUND(($AE$6*1.04),5))</f>
        <v>330</v>
      </c>
      <c r="AN67" s="130" t="s">
        <v>112</v>
      </c>
      <c r="AO67" s="168">
        <f>IF(('Initial Inputs'!$F$8="kg"),MROUND(($E$6*0.98),2.5),MROUND(($E$6*0.98),5))</f>
        <v>260</v>
      </c>
      <c r="AP67" s="168">
        <f>IF(('Initial Inputs'!$F$8="kg"),MROUND(($E$6*1),2.5),MROUND(($E$6*1),5))</f>
        <v>265</v>
      </c>
      <c r="AQ67" s="168">
        <f>IF(('Initial Inputs'!$F$8="kg"),MROUND(($E$6*1.015),2.5),MROUND(($E$6*1.015),5))</f>
        <v>270</v>
      </c>
      <c r="AR67" s="168">
        <f>IF(('Initial Inputs'!$F$8="kg"),MROUND(($E$6*1.025),2.5),MROUND(($E$6*1.025),5))</f>
        <v>270</v>
      </c>
    </row>
    <row r="68" ht="15.75" customHeight="1">
      <c r="N68" s="123"/>
      <c r="O68" s="4"/>
      <c r="P68" s="4"/>
      <c r="Q68" s="4"/>
      <c r="R68" s="4"/>
      <c r="S68" s="125"/>
      <c r="AA68" s="123"/>
      <c r="AB68" s="4"/>
      <c r="AC68" s="4"/>
      <c r="AD68" s="4"/>
      <c r="AE68" s="4"/>
      <c r="AF68" s="125"/>
      <c r="AN68" s="123"/>
      <c r="AO68" s="4"/>
      <c r="AP68" s="4"/>
      <c r="AQ68" s="4"/>
      <c r="AR68" s="125"/>
    </row>
    <row r="69" ht="15.75" customHeight="1">
      <c r="N69" s="126" t="s">
        <v>102</v>
      </c>
      <c r="O69" s="127" t="s">
        <v>236</v>
      </c>
      <c r="P69" s="127" t="s">
        <v>237</v>
      </c>
      <c r="Q69" s="127" t="s">
        <v>130</v>
      </c>
      <c r="R69" s="127" t="s">
        <v>104</v>
      </c>
      <c r="S69" s="142" t="s">
        <v>105</v>
      </c>
      <c r="AA69" s="126" t="s">
        <v>102</v>
      </c>
      <c r="AB69" s="127" t="s">
        <v>236</v>
      </c>
      <c r="AC69" s="127" t="s">
        <v>237</v>
      </c>
      <c r="AD69" s="127" t="s">
        <v>130</v>
      </c>
      <c r="AE69" s="127" t="s">
        <v>104</v>
      </c>
      <c r="AF69" s="142" t="s">
        <v>105</v>
      </c>
      <c r="AN69" s="126" t="s">
        <v>102</v>
      </c>
      <c r="AO69" s="127" t="s">
        <v>236</v>
      </c>
      <c r="AP69" s="127" t="s">
        <v>237</v>
      </c>
      <c r="AQ69" s="127" t="s">
        <v>130</v>
      </c>
      <c r="AR69" s="128" t="s">
        <v>238</v>
      </c>
    </row>
    <row r="70" ht="22.5" customHeight="1">
      <c r="N70" s="130" t="s">
        <v>115</v>
      </c>
      <c r="O70" s="168">
        <f>IF(('Initial Inputs'!$F$8="kg"),MROUND(($E$7*0.97),2.5),MROUND(($E$7*0.97),5))</f>
        <v>415</v>
      </c>
      <c r="P70" s="168">
        <f>IF(('Initial Inputs'!$F$8="kg"),MROUND(($E$7*1),2.5),MROUND(($E$7*1),5))</f>
        <v>430</v>
      </c>
      <c r="Q70" s="168">
        <f>IF(('Initial Inputs'!$F$8="kg"),MROUND(($E$7*1.015),2.5),MROUND(($E$7*1.015),5))</f>
        <v>435</v>
      </c>
      <c r="R70" s="168">
        <f>IF(('Initial Inputs'!$F$8="kg"),MROUND(($E$7*1.03),2.5),MROUND(($E$7*1.03),5))</f>
        <v>445</v>
      </c>
      <c r="S70" s="168">
        <f>IF(('Initial Inputs'!$F$8="kg"),MROUND(($E$7*1.04),2.5),MROUND(($E$7*1.04),5))</f>
        <v>445</v>
      </c>
      <c r="AA70" s="130" t="s">
        <v>115</v>
      </c>
      <c r="AB70" s="168">
        <f>IF(('Initial Inputs'!$F$8="kg"),MROUND(($AE$7/1.03),2.5),MROUND(($AE$7/1.03),5))</f>
        <v>465</v>
      </c>
      <c r="AC70" s="168">
        <f>IF(('Initial Inputs'!$F$8="kg"),MROUND(($AE$7*1),2.5),MROUND(($AE$7*1),5))</f>
        <v>480</v>
      </c>
      <c r="AD70" s="168">
        <f>IF(('Initial Inputs'!$F$8="kg"),MROUND(($AE$7*1.015),2.5),MROUND(($AE$7*1.015),5))</f>
        <v>485</v>
      </c>
      <c r="AE70" s="168">
        <f>IF(('Initial Inputs'!$F$8="kg"),MROUND(($AE$7*1.03),2.5),MROUND(($AE$7*1.03),5))</f>
        <v>495</v>
      </c>
      <c r="AF70" s="168">
        <f>IF(('Initial Inputs'!$F$8="kg"),MROUND(($AE$7*1.04),2.5),MROUND(($AE$7*1.04),5))</f>
        <v>500</v>
      </c>
      <c r="AN70" s="130" t="s">
        <v>115</v>
      </c>
      <c r="AO70" s="168">
        <f>IF(('Initial Inputs'!$F$8="kg"),MROUND(($E$7*0.98),2.5),MROUND(($E$7*0.98),5))</f>
        <v>420</v>
      </c>
      <c r="AP70" s="168">
        <f>IF(('Initial Inputs'!$F$8="kg"),MROUND(($E$7*1),2.5),MROUND(($E$7*1),5))</f>
        <v>430</v>
      </c>
      <c r="AQ70" s="168">
        <f>IF(('Initial Inputs'!$F$8="kg"),MROUND(($E$7*1.015),2.5),MROUND(($E$7*1.015),5))</f>
        <v>435</v>
      </c>
      <c r="AR70" s="168">
        <f>IF(('Initial Inputs'!$F$8="kg"),MROUND(($E$7*1.025),2.5),MROUND(($E$7*1.025),5))</f>
        <v>440</v>
      </c>
    </row>
    <row r="71" ht="15.75" customHeight="1">
      <c r="N71" s="123"/>
      <c r="O71" s="4"/>
      <c r="P71" s="4"/>
      <c r="Q71" s="4"/>
      <c r="R71" s="4"/>
      <c r="S71" s="125"/>
      <c r="AA71" s="123"/>
      <c r="AB71" s="4"/>
      <c r="AC71" s="4"/>
      <c r="AD71" s="4"/>
      <c r="AE71" s="4"/>
      <c r="AF71" s="125"/>
      <c r="AN71" s="123"/>
      <c r="AO71" s="4"/>
      <c r="AP71" s="4"/>
      <c r="AQ71" s="4"/>
      <c r="AR71" s="125"/>
    </row>
    <row r="72" ht="15.75" customHeight="1">
      <c r="N72" s="134" t="s">
        <v>133</v>
      </c>
      <c r="O72" s="4"/>
      <c r="P72" s="4"/>
      <c r="Q72" s="4"/>
      <c r="R72" s="4"/>
      <c r="S72" s="125"/>
      <c r="AA72" s="134" t="s">
        <v>133</v>
      </c>
      <c r="AB72" s="4"/>
      <c r="AC72" s="4"/>
      <c r="AD72" s="4"/>
      <c r="AE72" s="4"/>
      <c r="AF72" s="125"/>
      <c r="AN72" s="134" t="s">
        <v>180</v>
      </c>
      <c r="AO72" s="4"/>
      <c r="AP72" s="4"/>
      <c r="AQ72" s="4"/>
      <c r="AR72" s="125"/>
    </row>
    <row r="73" ht="15.75" customHeight="1">
      <c r="N73" s="134" t="s">
        <v>239</v>
      </c>
      <c r="O73" s="4"/>
      <c r="P73" s="4"/>
      <c r="Q73" s="4"/>
      <c r="R73" s="4"/>
      <c r="S73" s="125"/>
      <c r="AA73" s="134" t="s">
        <v>240</v>
      </c>
      <c r="AB73" s="4"/>
      <c r="AC73" s="4"/>
      <c r="AD73" s="4"/>
      <c r="AE73" s="4"/>
      <c r="AF73" s="125"/>
      <c r="AN73" s="134" t="s">
        <v>181</v>
      </c>
      <c r="AO73" s="4"/>
      <c r="AP73" s="4"/>
      <c r="AQ73" s="4"/>
      <c r="AR73" s="125"/>
    </row>
    <row r="74" ht="15.75" customHeight="1">
      <c r="N74" s="28" t="s">
        <v>136</v>
      </c>
      <c r="O74" s="29"/>
      <c r="P74" s="29"/>
      <c r="Q74" s="29"/>
      <c r="R74" s="29"/>
      <c r="S74" s="30"/>
      <c r="AA74" s="28" t="s">
        <v>136</v>
      </c>
      <c r="AB74" s="29"/>
      <c r="AC74" s="29"/>
      <c r="AD74" s="29"/>
      <c r="AE74" s="29"/>
      <c r="AF74" s="30"/>
      <c r="AN74" s="134"/>
      <c r="AO74" s="4"/>
      <c r="AP74" s="4"/>
      <c r="AQ74" s="4"/>
      <c r="AR74" s="125"/>
    </row>
    <row r="75" ht="15.75" customHeight="1">
      <c r="AN75" s="135" t="s">
        <v>185</v>
      </c>
      <c r="AO75" s="124"/>
      <c r="AP75" s="136"/>
      <c r="AQ75" s="124"/>
      <c r="AR75" s="137"/>
    </row>
    <row r="76" ht="15.75" customHeight="1">
      <c r="AN76" s="138" t="s">
        <v>186</v>
      </c>
      <c r="AO76" s="139"/>
      <c r="AP76" s="140"/>
      <c r="AQ76" s="139"/>
      <c r="AR76" s="141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G5:AL5"/>
    <mergeCell ref="AG6:AL6"/>
    <mergeCell ref="O61:S61"/>
    <mergeCell ref="AB61:AF61"/>
    <mergeCell ref="AO61:AR61"/>
    <mergeCell ref="W2:AA2"/>
    <mergeCell ref="C4:E4"/>
    <mergeCell ref="AC4:AE4"/>
    <mergeCell ref="AP4:AR4"/>
    <mergeCell ref="G5:L5"/>
    <mergeCell ref="AT5:AY5"/>
    <mergeCell ref="G6:L6"/>
    <mergeCell ref="AT6:AY6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10.29"/>
    <col customWidth="1" min="3" max="3" width="11.43"/>
    <col customWidth="1" min="4" max="4" width="7.43"/>
    <col customWidth="1" min="5" max="5" width="10.71"/>
    <col customWidth="1" min="6" max="6" width="7.43"/>
    <col customWidth="1" min="7" max="7" width="8.86"/>
    <col customWidth="1" min="8" max="8" width="7.43"/>
    <col customWidth="1" min="9" max="9" width="8.86"/>
    <col customWidth="1" min="10" max="10" width="7.43"/>
    <col customWidth="1" min="11" max="12" width="8.86"/>
    <col customWidth="1" min="13" max="13" width="9.14"/>
    <col customWidth="1" min="14" max="14" width="9.43"/>
    <col customWidth="1" min="15" max="15" width="6.14"/>
    <col customWidth="1" hidden="1" min="16" max="16" width="7.43"/>
    <col customWidth="1" hidden="1" min="17" max="17" width="6.43"/>
    <col customWidth="1" hidden="1" min="18" max="18" width="7.43"/>
    <col customWidth="1" hidden="1" min="19" max="19" width="6.43"/>
    <col customWidth="1" hidden="1" min="20" max="20" width="8.71"/>
    <col customWidth="1" hidden="1" min="21" max="21" width="6.43"/>
    <col customWidth="1" hidden="1" min="22" max="22" width="8.71"/>
    <col customWidth="1" hidden="1" min="23" max="23" width="6.43"/>
    <col customWidth="1" min="24" max="24" width="7.43"/>
    <col customWidth="1" min="25" max="25" width="8.86"/>
    <col customWidth="1" min="26" max="26" width="48.0"/>
    <col customWidth="1" min="27" max="27" width="9.71"/>
    <col customWidth="1" min="28" max="28" width="8.86"/>
    <col customWidth="1" min="29" max="29" width="7.43"/>
    <col customWidth="1" min="30" max="30" width="8.43"/>
    <col customWidth="1" min="31" max="31" width="7.43"/>
    <col customWidth="1" min="32" max="32" width="6.43"/>
    <col customWidth="1" min="33" max="33" width="7.0"/>
  </cols>
  <sheetData>
    <row r="1" ht="17.25" customHeight="1">
      <c r="A1" s="194" t="s">
        <v>241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6"/>
      <c r="M1" s="32"/>
      <c r="N1" s="32"/>
      <c r="O1" s="32"/>
      <c r="P1" s="32"/>
      <c r="Q1" s="32"/>
      <c r="R1" s="32"/>
      <c r="S1" s="32"/>
      <c r="T1" s="32"/>
      <c r="U1" s="32"/>
      <c r="V1" s="31"/>
      <c r="W1" s="31"/>
      <c r="X1" s="31"/>
      <c r="Y1" s="31"/>
      <c r="Z1" s="31"/>
      <c r="AA1" s="32"/>
      <c r="AB1" s="32"/>
      <c r="AC1" s="32"/>
      <c r="AD1" s="32"/>
      <c r="AE1" s="32"/>
      <c r="AF1" s="32"/>
      <c r="AG1" s="32"/>
    </row>
    <row r="2" ht="33.75" customHeight="1">
      <c r="A2" s="197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9"/>
      <c r="M2" s="32"/>
      <c r="N2" s="32"/>
      <c r="O2" s="32"/>
      <c r="P2" s="32"/>
      <c r="Q2" s="32"/>
      <c r="R2" s="32"/>
      <c r="S2" s="32"/>
      <c r="T2" s="32"/>
      <c r="U2" s="32"/>
      <c r="V2" s="31"/>
      <c r="W2" s="31"/>
      <c r="X2" s="31"/>
      <c r="Y2" s="31"/>
      <c r="Z2" s="31"/>
      <c r="AA2" s="32"/>
      <c r="AB2" s="32"/>
      <c r="AC2" s="32"/>
      <c r="AD2" s="32"/>
      <c r="AE2" s="32"/>
      <c r="AF2" s="32"/>
      <c r="AG2" s="32"/>
    </row>
    <row r="3" ht="33.75" customHeight="1">
      <c r="A3" s="37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41"/>
      <c r="W3" s="41"/>
      <c r="X3" s="41"/>
      <c r="Y3" s="41"/>
      <c r="Z3" s="41"/>
      <c r="AA3" s="32"/>
      <c r="AB3" s="32"/>
      <c r="AC3" s="32"/>
      <c r="AD3" s="32"/>
      <c r="AE3" s="32"/>
      <c r="AF3" s="32"/>
      <c r="AG3" s="32"/>
    </row>
    <row r="4" ht="17.25" customHeight="1">
      <c r="A4" s="37"/>
      <c r="B4" s="32"/>
      <c r="C4" s="42" t="s">
        <v>17</v>
      </c>
      <c r="D4" s="2"/>
      <c r="E4" s="3"/>
      <c r="F4" s="31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41"/>
      <c r="W4" s="41"/>
      <c r="X4" s="41"/>
      <c r="Y4" s="41"/>
      <c r="Z4" s="41"/>
      <c r="AA4" s="32"/>
      <c r="AB4" s="200"/>
      <c r="AE4" s="31"/>
      <c r="AF4" s="32"/>
      <c r="AG4" s="32"/>
    </row>
    <row r="5" ht="24.0" customHeight="1">
      <c r="A5" s="37"/>
      <c r="B5" s="32"/>
      <c r="C5" s="43" t="s">
        <v>18</v>
      </c>
      <c r="D5" s="44"/>
      <c r="E5" s="201">
        <v>420.0</v>
      </c>
      <c r="F5" s="32"/>
      <c r="G5" s="46" t="s">
        <v>242</v>
      </c>
      <c r="H5" s="47"/>
      <c r="I5" s="47"/>
      <c r="J5" s="47"/>
      <c r="K5" s="47"/>
      <c r="L5" s="48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1"/>
      <c r="AB5" s="202"/>
      <c r="AC5" s="32"/>
      <c r="AD5" s="203"/>
      <c r="AE5" s="32"/>
      <c r="AF5" s="129"/>
    </row>
    <row r="6" ht="24.0" customHeight="1">
      <c r="C6" s="49" t="s">
        <v>21</v>
      </c>
      <c r="D6" s="50"/>
      <c r="E6" s="204">
        <v>285.0</v>
      </c>
      <c r="F6" s="52"/>
      <c r="G6" s="53" t="s">
        <v>243</v>
      </c>
      <c r="H6" s="54"/>
      <c r="I6" s="54"/>
      <c r="J6" s="54"/>
      <c r="K6" s="54"/>
      <c r="L6" s="55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202"/>
      <c r="AC6" s="112"/>
      <c r="AD6" s="203"/>
      <c r="AE6" s="31"/>
      <c r="AF6" s="205"/>
    </row>
    <row r="7" ht="23.25" customHeight="1">
      <c r="A7" s="56" t="s">
        <v>244</v>
      </c>
      <c r="B7" s="31"/>
      <c r="C7" s="57" t="s">
        <v>27</v>
      </c>
      <c r="D7" s="58"/>
      <c r="E7" s="206">
        <v>425.0</v>
      </c>
      <c r="F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56"/>
      <c r="AA7" s="31"/>
      <c r="AB7" s="202"/>
      <c r="AC7" s="31"/>
      <c r="AD7" s="203"/>
      <c r="AE7" s="31"/>
      <c r="AF7" s="31"/>
      <c r="AG7" s="31"/>
    </row>
    <row r="8"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</row>
    <row r="9">
      <c r="A9" s="61" t="s">
        <v>245</v>
      </c>
      <c r="C9" s="64" t="s">
        <v>30</v>
      </c>
      <c r="D9" s="65"/>
      <c r="E9" s="64" t="s">
        <v>31</v>
      </c>
      <c r="F9" s="65"/>
      <c r="G9" s="64" t="s">
        <v>32</v>
      </c>
      <c r="H9" s="65"/>
      <c r="I9" s="64" t="s">
        <v>33</v>
      </c>
      <c r="J9" s="65"/>
      <c r="K9" s="64" t="s">
        <v>34</v>
      </c>
      <c r="L9" s="63"/>
      <c r="N9" s="31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31"/>
      <c r="Z9" s="61"/>
      <c r="AA9" s="31"/>
      <c r="AB9" s="112"/>
      <c r="AC9" s="112"/>
      <c r="AD9" s="112"/>
      <c r="AE9" s="112"/>
      <c r="AF9" s="112"/>
      <c r="AG9" s="112"/>
    </row>
    <row r="10">
      <c r="A10" s="207" t="s">
        <v>7</v>
      </c>
      <c r="B10" s="67" t="s">
        <v>38</v>
      </c>
      <c r="C10" s="152">
        <f>IF(('Initial Inputs'!$F$8="kg"),MROUND(($E$5*0.825),2.5),MROUND(($E$5*0.825),5))</f>
        <v>345</v>
      </c>
      <c r="D10" s="69" t="s">
        <v>86</v>
      </c>
      <c r="E10" s="153">
        <f t="shared" ref="E10:L10" si="1">C10</f>
        <v>345</v>
      </c>
      <c r="F10" s="69" t="str">
        <f t="shared" si="1"/>
        <v>x3</v>
      </c>
      <c r="G10" s="153">
        <f t="shared" si="1"/>
        <v>345</v>
      </c>
      <c r="H10" s="69" t="str">
        <f t="shared" si="1"/>
        <v>x3</v>
      </c>
      <c r="I10" s="153">
        <f t="shared" si="1"/>
        <v>345</v>
      </c>
      <c r="J10" s="69" t="str">
        <f t="shared" si="1"/>
        <v>x3</v>
      </c>
      <c r="K10" s="153">
        <f t="shared" si="1"/>
        <v>345</v>
      </c>
      <c r="L10" s="69" t="str">
        <f t="shared" si="1"/>
        <v>x3</v>
      </c>
      <c r="N10" s="112"/>
      <c r="O10" s="208"/>
      <c r="P10" s="112"/>
      <c r="Q10" s="208"/>
      <c r="R10" s="112"/>
      <c r="S10" s="208"/>
      <c r="T10" s="112"/>
      <c r="U10" s="208"/>
      <c r="V10" s="112"/>
      <c r="W10" s="112"/>
      <c r="X10" s="112"/>
      <c r="Y10" s="31"/>
      <c r="Z10" s="112"/>
      <c r="AA10" s="112"/>
      <c r="AB10" s="209"/>
      <c r="AC10" s="112"/>
      <c r="AD10" s="209"/>
      <c r="AE10" s="112"/>
      <c r="AF10" s="209"/>
      <c r="AG10" s="112"/>
    </row>
    <row r="11">
      <c r="A11" s="210" t="s">
        <v>8</v>
      </c>
      <c r="B11" s="74" t="s">
        <v>38</v>
      </c>
      <c r="C11" s="155">
        <f>IF(('Initial Inputs'!$F$8="kg"),MROUND(($E$6*0.825),2.5),MROUND(($E$6*0.825),5))</f>
        <v>235</v>
      </c>
      <c r="D11" s="76" t="s">
        <v>86</v>
      </c>
      <c r="E11" s="155">
        <f t="shared" ref="E11:L11" si="2">C11</f>
        <v>235</v>
      </c>
      <c r="F11" s="76" t="str">
        <f t="shared" si="2"/>
        <v>x3</v>
      </c>
      <c r="G11" s="155">
        <f t="shared" si="2"/>
        <v>235</v>
      </c>
      <c r="H11" s="76" t="str">
        <f t="shared" si="2"/>
        <v>x3</v>
      </c>
      <c r="I11" s="155">
        <f t="shared" si="2"/>
        <v>235</v>
      </c>
      <c r="J11" s="76" t="str">
        <f t="shared" si="2"/>
        <v>x3</v>
      </c>
      <c r="K11" s="155">
        <f t="shared" si="2"/>
        <v>235</v>
      </c>
      <c r="L11" s="76" t="str">
        <f t="shared" si="2"/>
        <v>x3</v>
      </c>
      <c r="N11" s="112"/>
      <c r="O11" s="208"/>
      <c r="P11" s="112"/>
      <c r="Q11" s="208"/>
      <c r="R11" s="112"/>
      <c r="S11" s="208"/>
      <c r="T11" s="112"/>
      <c r="U11" s="208"/>
      <c r="V11" s="112"/>
      <c r="W11" s="112"/>
      <c r="X11" s="112"/>
      <c r="Y11" s="31"/>
      <c r="Z11" s="112"/>
      <c r="AA11" s="112"/>
      <c r="AB11" s="209"/>
      <c r="AC11" s="112"/>
      <c r="AD11" s="209"/>
      <c r="AE11" s="112"/>
      <c r="AF11" s="209"/>
      <c r="AG11" s="112"/>
    </row>
    <row r="12">
      <c r="A12" s="211" t="s">
        <v>9</v>
      </c>
      <c r="B12" s="82" t="s">
        <v>38</v>
      </c>
      <c r="C12" s="158">
        <f>IF(('Initial Inputs'!$F$8="kg"),MROUND(($E$7*0.775),2.5),MROUND(($E$7*0.775),5))</f>
        <v>330</v>
      </c>
      <c r="D12" s="101" t="s">
        <v>86</v>
      </c>
      <c r="E12" s="158">
        <f t="shared" ref="E12:H12" si="3">C12</f>
        <v>330</v>
      </c>
      <c r="F12" s="84" t="str">
        <f t="shared" si="3"/>
        <v>x3</v>
      </c>
      <c r="G12" s="158">
        <f t="shared" si="3"/>
        <v>330</v>
      </c>
      <c r="H12" s="84" t="str">
        <f t="shared" si="3"/>
        <v>x3</v>
      </c>
      <c r="I12" s="85"/>
      <c r="J12" s="86"/>
      <c r="K12" s="85"/>
      <c r="L12" s="86"/>
      <c r="N12" s="112"/>
      <c r="O12" s="208"/>
      <c r="P12" s="112"/>
      <c r="Q12" s="208"/>
      <c r="R12" s="112"/>
      <c r="S12" s="208"/>
      <c r="T12" s="112"/>
      <c r="U12" s="208"/>
      <c r="V12" s="112"/>
      <c r="W12" s="112"/>
      <c r="X12" s="112"/>
      <c r="Y12" s="31"/>
      <c r="Z12" s="112"/>
      <c r="AA12" s="112"/>
      <c r="AB12" s="209"/>
      <c r="AC12" s="112"/>
      <c r="AD12" s="209"/>
      <c r="AE12" s="112"/>
      <c r="AF12" s="209"/>
      <c r="AG12" s="112"/>
    </row>
    <row r="13"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</row>
    <row r="14">
      <c r="N14" s="31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31"/>
      <c r="Z14" s="61"/>
      <c r="AA14" s="31"/>
      <c r="AB14" s="112"/>
      <c r="AC14" s="112"/>
      <c r="AD14" s="112"/>
      <c r="AE14" s="112"/>
      <c r="AF14" s="112"/>
      <c r="AG14" s="112"/>
    </row>
    <row r="15">
      <c r="A15" s="61" t="s">
        <v>246</v>
      </c>
      <c r="C15" s="64" t="s">
        <v>30</v>
      </c>
      <c r="D15" s="65"/>
      <c r="E15" s="64" t="s">
        <v>31</v>
      </c>
      <c r="F15" s="65"/>
      <c r="G15" s="64" t="s">
        <v>32</v>
      </c>
      <c r="H15" s="65"/>
      <c r="I15" s="64" t="s">
        <v>33</v>
      </c>
      <c r="J15" s="65"/>
      <c r="K15" s="64" t="s">
        <v>34</v>
      </c>
      <c r="L15" s="63"/>
      <c r="N15" s="112"/>
      <c r="O15" s="113"/>
      <c r="P15" s="112"/>
      <c r="Q15" s="113"/>
      <c r="R15" s="112"/>
      <c r="S15" s="112"/>
      <c r="T15" s="112"/>
      <c r="U15" s="112"/>
      <c r="V15" s="112"/>
      <c r="W15" s="112"/>
      <c r="X15" s="112"/>
      <c r="Y15" s="31"/>
      <c r="Z15" s="112"/>
      <c r="AA15" s="112"/>
      <c r="AB15" s="113"/>
      <c r="AC15" s="112"/>
      <c r="AD15" s="113"/>
      <c r="AE15" s="112"/>
      <c r="AF15" s="112"/>
      <c r="AG15" s="112"/>
    </row>
    <row r="16">
      <c r="A16" s="207" t="s">
        <v>48</v>
      </c>
      <c r="B16" s="88" t="s">
        <v>38</v>
      </c>
      <c r="C16" s="89"/>
      <c r="D16" s="72" t="s">
        <v>49</v>
      </c>
      <c r="E16" s="89"/>
      <c r="F16" s="69" t="str">
        <f t="shared" ref="F16:F18" si="4">D16</f>
        <v>x8-10</v>
      </c>
      <c r="G16" s="70"/>
      <c r="H16" s="71"/>
      <c r="I16" s="70"/>
      <c r="J16" s="71"/>
      <c r="K16" s="70"/>
      <c r="L16" s="71"/>
      <c r="M16" s="31"/>
      <c r="N16" s="112"/>
      <c r="O16" s="113"/>
      <c r="P16" s="112"/>
      <c r="Q16" s="113"/>
      <c r="R16" s="112"/>
      <c r="S16" s="112"/>
      <c r="T16" s="112"/>
      <c r="U16" s="112"/>
      <c r="V16" s="112"/>
      <c r="W16" s="112"/>
      <c r="X16" s="112"/>
      <c r="Y16" s="31"/>
      <c r="Z16" s="112"/>
      <c r="AA16" s="112"/>
      <c r="AB16" s="113"/>
      <c r="AC16" s="112"/>
      <c r="AD16" s="113"/>
      <c r="AE16" s="112"/>
      <c r="AF16" s="112"/>
      <c r="AG16" s="112"/>
    </row>
    <row r="17">
      <c r="A17" s="210" t="s">
        <v>51</v>
      </c>
      <c r="B17" s="90" t="s">
        <v>38</v>
      </c>
      <c r="C17" s="91"/>
      <c r="D17" s="76" t="s">
        <v>247</v>
      </c>
      <c r="E17" s="92"/>
      <c r="F17" s="93" t="str">
        <f t="shared" si="4"/>
        <v>x8x10</v>
      </c>
      <c r="G17" s="78"/>
      <c r="H17" s="180"/>
      <c r="I17" s="78"/>
      <c r="J17" s="79"/>
      <c r="K17" s="78"/>
      <c r="L17" s="79"/>
      <c r="M17" s="31"/>
      <c r="N17" s="112"/>
      <c r="O17" s="113"/>
      <c r="P17" s="112"/>
      <c r="Q17" s="113"/>
      <c r="R17" s="112"/>
      <c r="S17" s="112"/>
      <c r="T17" s="112"/>
      <c r="U17" s="112"/>
      <c r="V17" s="112"/>
      <c r="W17" s="112"/>
      <c r="X17" s="112"/>
      <c r="Y17" s="31"/>
      <c r="Z17" s="112"/>
      <c r="AA17" s="112"/>
      <c r="AB17" s="113"/>
      <c r="AC17" s="112"/>
      <c r="AD17" s="113"/>
      <c r="AE17" s="112"/>
      <c r="AF17" s="112"/>
      <c r="AG17" s="112"/>
    </row>
    <row r="18">
      <c r="A18" s="210" t="s">
        <v>248</v>
      </c>
      <c r="B18" s="90" t="s">
        <v>38</v>
      </c>
      <c r="C18" s="92"/>
      <c r="D18" s="80" t="s">
        <v>47</v>
      </c>
      <c r="E18" s="92"/>
      <c r="F18" s="76" t="str">
        <f t="shared" si="4"/>
        <v>x6-8</v>
      </c>
      <c r="G18" s="92"/>
      <c r="H18" s="76" t="str">
        <f t="shared" ref="H18:H19" si="5">F18</f>
        <v>x6-8</v>
      </c>
      <c r="I18" s="92"/>
      <c r="J18" s="76" t="str">
        <f t="shared" ref="J18:J19" si="6">H18</f>
        <v>x6-8</v>
      </c>
      <c r="K18" s="78"/>
      <c r="L18" s="79"/>
      <c r="M18" s="31"/>
      <c r="N18" s="112"/>
      <c r="O18" s="113"/>
      <c r="P18" s="112"/>
      <c r="Q18" s="113"/>
      <c r="R18" s="112"/>
      <c r="S18" s="112"/>
      <c r="T18" s="112"/>
      <c r="U18" s="112"/>
      <c r="V18" s="112"/>
      <c r="W18" s="112"/>
      <c r="X18" s="112"/>
      <c r="Y18" s="31"/>
      <c r="Z18" s="112"/>
      <c r="AA18" s="112"/>
      <c r="AB18" s="113"/>
      <c r="AC18" s="112"/>
      <c r="AD18" s="113"/>
      <c r="AE18" s="112"/>
      <c r="AF18" s="112"/>
      <c r="AG18" s="112"/>
    </row>
    <row r="19">
      <c r="A19" s="210" t="s">
        <v>73</v>
      </c>
      <c r="B19" s="90" t="s">
        <v>38</v>
      </c>
      <c r="C19" s="92"/>
      <c r="D19" s="90" t="s">
        <v>58</v>
      </c>
      <c r="E19" s="92"/>
      <c r="F19" s="90" t="s">
        <v>59</v>
      </c>
      <c r="G19" s="92"/>
      <c r="H19" s="76" t="str">
        <f t="shared" si="5"/>
        <v>x10</v>
      </c>
      <c r="I19" s="92"/>
      <c r="J19" s="76" t="str">
        <f t="shared" si="6"/>
        <v>x10</v>
      </c>
      <c r="K19" s="78"/>
      <c r="L19" s="79"/>
      <c r="M19" s="31"/>
      <c r="N19" s="112"/>
      <c r="O19" s="113"/>
      <c r="P19" s="112"/>
      <c r="Q19" s="113"/>
      <c r="R19" s="112"/>
      <c r="S19" s="112"/>
      <c r="T19" s="112"/>
      <c r="U19" s="112"/>
      <c r="V19" s="112"/>
      <c r="W19" s="112"/>
      <c r="X19" s="112"/>
      <c r="Y19" s="31"/>
      <c r="Z19" s="112"/>
      <c r="AA19" s="112"/>
      <c r="AB19" s="113"/>
      <c r="AC19" s="112"/>
      <c r="AD19" s="113"/>
      <c r="AE19" s="112"/>
      <c r="AF19" s="112"/>
      <c r="AG19" s="112"/>
    </row>
    <row r="20">
      <c r="A20" s="210" t="s">
        <v>249</v>
      </c>
      <c r="B20" s="90" t="s">
        <v>38</v>
      </c>
      <c r="C20" s="92"/>
      <c r="D20" s="90" t="s">
        <v>90</v>
      </c>
      <c r="E20" s="92"/>
      <c r="F20" s="90" t="str">
        <f t="shared" ref="F20:F24" si="7">D20</f>
        <v>x12-15</v>
      </c>
      <c r="G20" s="78"/>
      <c r="H20" s="79"/>
      <c r="I20" s="78"/>
      <c r="J20" s="79"/>
      <c r="K20" s="78"/>
      <c r="L20" s="122"/>
      <c r="M20" s="31"/>
      <c r="N20" s="112"/>
      <c r="O20" s="113"/>
      <c r="P20" s="112"/>
      <c r="Q20" s="113"/>
      <c r="R20" s="112"/>
      <c r="S20" s="112"/>
      <c r="T20" s="112"/>
      <c r="U20" s="112"/>
      <c r="V20" s="112"/>
      <c r="W20" s="112"/>
      <c r="X20" s="112"/>
      <c r="Y20" s="31"/>
      <c r="Z20" s="112"/>
      <c r="AA20" s="112"/>
      <c r="AB20" s="113"/>
      <c r="AC20" s="112"/>
      <c r="AD20" s="113"/>
      <c r="AE20" s="112"/>
      <c r="AF20" s="112"/>
      <c r="AG20" s="112"/>
    </row>
    <row r="21" ht="15.75" customHeight="1">
      <c r="A21" s="210" t="s">
        <v>250</v>
      </c>
      <c r="B21" s="90" t="s">
        <v>38</v>
      </c>
      <c r="C21" s="92"/>
      <c r="D21" s="90" t="s">
        <v>90</v>
      </c>
      <c r="E21" s="92"/>
      <c r="F21" s="76" t="str">
        <f t="shared" si="7"/>
        <v>x12-15</v>
      </c>
      <c r="G21" s="78"/>
      <c r="H21" s="79"/>
      <c r="I21" s="78"/>
      <c r="J21" s="79"/>
      <c r="K21" s="78"/>
      <c r="L21" s="79"/>
      <c r="M21" s="31"/>
      <c r="N21" s="112"/>
      <c r="O21" s="113"/>
      <c r="P21" s="112"/>
      <c r="Q21" s="113"/>
      <c r="R21" s="112"/>
      <c r="S21" s="112"/>
      <c r="T21" s="112"/>
      <c r="U21" s="112"/>
      <c r="V21" s="112"/>
      <c r="W21" s="112"/>
      <c r="X21" s="112"/>
      <c r="Y21" s="31"/>
      <c r="Z21" s="112"/>
      <c r="AA21" s="112"/>
      <c r="AB21" s="113"/>
      <c r="AC21" s="112"/>
      <c r="AD21" s="113"/>
      <c r="AE21" s="112"/>
      <c r="AF21" s="112"/>
      <c r="AG21" s="112"/>
    </row>
    <row r="22" ht="15.75" customHeight="1">
      <c r="A22" s="212" t="s">
        <v>251</v>
      </c>
      <c r="B22" s="90" t="s">
        <v>38</v>
      </c>
      <c r="C22" s="92"/>
      <c r="D22" s="90" t="s">
        <v>90</v>
      </c>
      <c r="E22" s="92"/>
      <c r="F22" s="90" t="str">
        <f t="shared" si="7"/>
        <v>x12-15</v>
      </c>
      <c r="G22" s="78"/>
      <c r="H22" s="79"/>
      <c r="I22" s="78"/>
      <c r="J22" s="79"/>
      <c r="K22" s="78"/>
      <c r="L22" s="122"/>
      <c r="M22" s="31"/>
      <c r="N22" s="112"/>
      <c r="O22" s="113"/>
      <c r="P22" s="112"/>
      <c r="Q22" s="113"/>
      <c r="R22" s="112"/>
      <c r="S22" s="112"/>
      <c r="T22" s="112"/>
      <c r="U22" s="112"/>
      <c r="V22" s="112"/>
      <c r="W22" s="112"/>
      <c r="X22" s="112"/>
      <c r="Y22" s="31"/>
      <c r="Z22" s="112"/>
      <c r="AA22" s="112"/>
      <c r="AB22" s="113"/>
      <c r="AC22" s="112"/>
      <c r="AD22" s="113"/>
      <c r="AE22" s="112"/>
      <c r="AF22" s="112"/>
      <c r="AG22" s="112"/>
    </row>
    <row r="23" ht="15.75" customHeight="1">
      <c r="A23" s="210" t="s">
        <v>252</v>
      </c>
      <c r="B23" s="90" t="s">
        <v>38</v>
      </c>
      <c r="C23" s="92"/>
      <c r="D23" s="90" t="s">
        <v>90</v>
      </c>
      <c r="E23" s="92"/>
      <c r="F23" s="76" t="str">
        <f t="shared" si="7"/>
        <v>x12-15</v>
      </c>
      <c r="G23" s="78"/>
      <c r="H23" s="79"/>
      <c r="I23" s="78"/>
      <c r="J23" s="79"/>
      <c r="K23" s="78"/>
      <c r="L23" s="79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ht="15.75" customHeight="1">
      <c r="A24" s="210" t="s">
        <v>253</v>
      </c>
      <c r="B24" s="90" t="s">
        <v>38</v>
      </c>
      <c r="C24" s="92"/>
      <c r="D24" s="90" t="s">
        <v>90</v>
      </c>
      <c r="E24" s="92"/>
      <c r="F24" s="76" t="str">
        <f t="shared" si="7"/>
        <v>x12-15</v>
      </c>
      <c r="G24" s="92"/>
      <c r="H24" s="76" t="str">
        <f t="shared" ref="H24:H26" si="8">F24</f>
        <v>x12-15</v>
      </c>
      <c r="I24" s="92"/>
      <c r="J24" s="76" t="str">
        <f t="shared" ref="J24:J26" si="9">H24</f>
        <v>x12-15</v>
      </c>
      <c r="K24" s="92"/>
      <c r="L24" s="76" t="str">
        <f>J24</f>
        <v>x12-15</v>
      </c>
      <c r="N24" s="31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31"/>
      <c r="Z24" s="61"/>
      <c r="AA24" s="31"/>
      <c r="AB24" s="112"/>
      <c r="AC24" s="112"/>
      <c r="AD24" s="112"/>
      <c r="AE24" s="112"/>
      <c r="AF24" s="112"/>
      <c r="AG24" s="112"/>
    </row>
    <row r="25" ht="15.75" customHeight="1">
      <c r="A25" s="210" t="s">
        <v>254</v>
      </c>
      <c r="B25" s="90" t="s">
        <v>38</v>
      </c>
      <c r="C25" s="92"/>
      <c r="D25" s="90" t="s">
        <v>97</v>
      </c>
      <c r="E25" s="92"/>
      <c r="F25" s="76" t="s">
        <v>98</v>
      </c>
      <c r="G25" s="92"/>
      <c r="H25" s="76" t="str">
        <f t="shared" si="8"/>
        <v>x15</v>
      </c>
      <c r="I25" s="92"/>
      <c r="J25" s="76" t="str">
        <f t="shared" si="9"/>
        <v>x15</v>
      </c>
      <c r="K25" s="78"/>
      <c r="L25" s="79"/>
      <c r="N25" s="112"/>
      <c r="O25" s="208"/>
      <c r="P25" s="112"/>
      <c r="Q25" s="208"/>
      <c r="R25" s="112"/>
      <c r="S25" s="208"/>
      <c r="T25" s="112"/>
      <c r="U25" s="208"/>
      <c r="V25" s="112"/>
      <c r="W25" s="112"/>
      <c r="X25" s="112"/>
      <c r="Y25" s="31"/>
      <c r="Z25" s="112"/>
      <c r="AA25" s="112"/>
      <c r="AB25" s="209"/>
      <c r="AC25" s="112"/>
      <c r="AD25" s="209"/>
      <c r="AE25" s="112"/>
      <c r="AF25" s="209"/>
      <c r="AG25" s="112"/>
    </row>
    <row r="26" ht="15.75" customHeight="1">
      <c r="A26" s="211" t="s">
        <v>255</v>
      </c>
      <c r="B26" s="101" t="s">
        <v>38</v>
      </c>
      <c r="C26" s="102"/>
      <c r="D26" s="101" t="s">
        <v>90</v>
      </c>
      <c r="E26" s="102"/>
      <c r="F26" s="84" t="str">
        <f>D26</f>
        <v>x12-15</v>
      </c>
      <c r="G26" s="102"/>
      <c r="H26" s="84" t="str">
        <f t="shared" si="8"/>
        <v>x12-15</v>
      </c>
      <c r="I26" s="102"/>
      <c r="J26" s="84" t="str">
        <f t="shared" si="9"/>
        <v>x12-15</v>
      </c>
      <c r="K26" s="102"/>
      <c r="L26" s="84" t="str">
        <f>J26</f>
        <v>x12-15</v>
      </c>
      <c r="M26" s="31"/>
      <c r="N26" s="112"/>
      <c r="O26" s="208"/>
      <c r="P26" s="112"/>
      <c r="Q26" s="208"/>
      <c r="R26" s="112"/>
      <c r="S26" s="208"/>
      <c r="T26" s="112"/>
      <c r="U26" s="208"/>
      <c r="V26" s="112"/>
      <c r="W26" s="112"/>
      <c r="X26" s="112"/>
      <c r="Y26" s="31"/>
      <c r="Z26" s="112"/>
      <c r="AA26" s="112"/>
      <c r="AB26" s="209"/>
      <c r="AC26" s="112"/>
      <c r="AD26" s="209"/>
      <c r="AE26" s="112"/>
      <c r="AF26" s="209"/>
      <c r="AG26" s="112"/>
    </row>
    <row r="27" ht="15.75" customHeight="1">
      <c r="M27" s="31"/>
      <c r="N27" s="112"/>
      <c r="O27" s="113"/>
      <c r="P27" s="112"/>
      <c r="Q27" s="113"/>
      <c r="R27" s="112"/>
      <c r="S27" s="112"/>
      <c r="T27" s="112"/>
      <c r="U27" s="112"/>
      <c r="V27" s="112"/>
      <c r="W27" s="112"/>
      <c r="X27" s="112"/>
      <c r="Y27" s="31"/>
      <c r="Z27" s="112"/>
      <c r="AA27" s="112"/>
      <c r="AB27" s="113"/>
      <c r="AC27" s="112"/>
      <c r="AD27" s="113"/>
      <c r="AE27" s="112"/>
      <c r="AF27" s="112"/>
      <c r="AG27" s="112"/>
    </row>
    <row r="28" ht="15.75" customHeight="1">
      <c r="M28" s="31"/>
      <c r="N28" s="112"/>
      <c r="O28" s="113"/>
      <c r="P28" s="112"/>
      <c r="Q28" s="113"/>
      <c r="R28" s="112"/>
      <c r="S28" s="112"/>
      <c r="T28" s="112"/>
      <c r="U28" s="112"/>
      <c r="V28" s="112"/>
      <c r="W28" s="112"/>
      <c r="X28" s="112"/>
      <c r="Y28" s="31"/>
      <c r="Z28" s="112"/>
      <c r="AA28" s="112"/>
      <c r="AB28" s="113"/>
      <c r="AC28" s="112"/>
      <c r="AD28" s="113"/>
      <c r="AE28" s="112"/>
      <c r="AF28" s="112"/>
      <c r="AG28" s="112"/>
    </row>
    <row r="29" ht="15.75" customHeight="1">
      <c r="A29" s="61" t="s">
        <v>256</v>
      </c>
      <c r="C29" s="64" t="s">
        <v>30</v>
      </c>
      <c r="D29" s="65"/>
      <c r="E29" s="64" t="s">
        <v>31</v>
      </c>
      <c r="F29" s="65"/>
      <c r="G29" s="64" t="s">
        <v>32</v>
      </c>
      <c r="H29" s="65"/>
      <c r="I29" s="64" t="s">
        <v>33</v>
      </c>
      <c r="J29" s="65"/>
      <c r="K29" s="64" t="s">
        <v>34</v>
      </c>
      <c r="L29" s="63"/>
      <c r="M29" s="31"/>
      <c r="N29" s="112"/>
      <c r="O29" s="113"/>
      <c r="P29" s="112"/>
      <c r="Q29" s="113"/>
      <c r="R29" s="112"/>
      <c r="S29" s="112"/>
      <c r="T29" s="112"/>
      <c r="U29" s="112"/>
      <c r="V29" s="112"/>
      <c r="W29" s="112"/>
      <c r="X29" s="112"/>
      <c r="Y29" s="31"/>
      <c r="Z29" s="112"/>
      <c r="AA29" s="112"/>
      <c r="AB29" s="113"/>
      <c r="AC29" s="112"/>
      <c r="AD29" s="113"/>
      <c r="AE29" s="112"/>
      <c r="AF29" s="112"/>
      <c r="AG29" s="112"/>
    </row>
    <row r="30" ht="15.75" customHeight="1">
      <c r="A30" s="207" t="s">
        <v>7</v>
      </c>
      <c r="B30" s="67" t="s">
        <v>38</v>
      </c>
      <c r="C30" s="152">
        <f>IF(('Initial Inputs'!$F$8="kg"),MROUND(($E$5*0.725),2.5),MROUND(($E$5*0.725),5))</f>
        <v>305</v>
      </c>
      <c r="D30" s="69" t="s">
        <v>40</v>
      </c>
      <c r="E30" s="153">
        <f t="shared" ref="E30:J30" si="10">C30</f>
        <v>305</v>
      </c>
      <c r="F30" s="69" t="str">
        <f t="shared" si="10"/>
        <v>x4</v>
      </c>
      <c r="G30" s="153">
        <f t="shared" si="10"/>
        <v>305</v>
      </c>
      <c r="H30" s="69" t="str">
        <f t="shared" si="10"/>
        <v>x4</v>
      </c>
      <c r="I30" s="153">
        <f t="shared" si="10"/>
        <v>305</v>
      </c>
      <c r="J30" s="69" t="str">
        <f t="shared" si="10"/>
        <v>x4</v>
      </c>
      <c r="K30" s="213"/>
      <c r="L30" s="71"/>
      <c r="M30" s="31"/>
      <c r="N30" s="112"/>
      <c r="O30" s="113"/>
      <c r="P30" s="112"/>
      <c r="Q30" s="113"/>
      <c r="R30" s="112"/>
      <c r="S30" s="112"/>
      <c r="T30" s="112"/>
      <c r="U30" s="112"/>
      <c r="V30" s="112"/>
      <c r="W30" s="112"/>
      <c r="X30" s="112"/>
      <c r="Y30" s="31"/>
      <c r="Z30" s="112"/>
      <c r="AA30" s="112"/>
      <c r="AB30" s="113"/>
      <c r="AC30" s="112"/>
      <c r="AD30" s="113"/>
      <c r="AE30" s="112"/>
      <c r="AF30" s="112"/>
      <c r="AG30" s="112"/>
    </row>
    <row r="31" ht="15.75" customHeight="1">
      <c r="A31" s="210" t="s">
        <v>8</v>
      </c>
      <c r="B31" s="74" t="s">
        <v>38</v>
      </c>
      <c r="C31" s="155">
        <f>IF(('Initial Inputs'!$F$8="kg"),MROUND(($E$6*0.725),2.5),MROUND(($E$6*0.725),5))</f>
        <v>205</v>
      </c>
      <c r="D31" s="76" t="s">
        <v>40</v>
      </c>
      <c r="E31" s="155">
        <f t="shared" ref="E31:J31" si="11">C31</f>
        <v>205</v>
      </c>
      <c r="F31" s="76" t="str">
        <f t="shared" si="11"/>
        <v>x4</v>
      </c>
      <c r="G31" s="155">
        <f t="shared" si="11"/>
        <v>205</v>
      </c>
      <c r="H31" s="76" t="str">
        <f t="shared" si="11"/>
        <v>x4</v>
      </c>
      <c r="I31" s="155">
        <f t="shared" si="11"/>
        <v>205</v>
      </c>
      <c r="J31" s="76" t="str">
        <f t="shared" si="11"/>
        <v>x4</v>
      </c>
      <c r="K31" s="214"/>
      <c r="L31" s="79"/>
      <c r="M31" s="31"/>
      <c r="N31" s="112"/>
      <c r="O31" s="113"/>
      <c r="P31" s="112"/>
      <c r="Q31" s="113"/>
      <c r="R31" s="112"/>
      <c r="S31" s="113"/>
      <c r="T31" s="112"/>
      <c r="U31" s="113"/>
      <c r="V31" s="112"/>
      <c r="W31" s="112"/>
      <c r="X31" s="112"/>
      <c r="Y31" s="31"/>
      <c r="Z31" s="112"/>
      <c r="AA31" s="112"/>
      <c r="AB31" s="113"/>
      <c r="AC31" s="112"/>
      <c r="AD31" s="113"/>
      <c r="AE31" s="112"/>
      <c r="AF31" s="113"/>
      <c r="AG31" s="112"/>
    </row>
    <row r="32" ht="15.75" customHeight="1">
      <c r="A32" s="211" t="s">
        <v>9</v>
      </c>
      <c r="B32" s="82" t="s">
        <v>38</v>
      </c>
      <c r="C32" s="158">
        <f>IF(('Initial Inputs'!$F$8="kg"),MROUND(($E$7*0.7),2.5),MROUND(($E$7*0.7),5))</f>
        <v>300</v>
      </c>
      <c r="D32" s="101" t="s">
        <v>86</v>
      </c>
      <c r="E32" s="158">
        <f t="shared" ref="E32:H32" si="12">C32</f>
        <v>300</v>
      </c>
      <c r="F32" s="84" t="str">
        <f t="shared" si="12"/>
        <v>x3</v>
      </c>
      <c r="G32" s="158">
        <f t="shared" si="12"/>
        <v>300</v>
      </c>
      <c r="H32" s="84" t="str">
        <f t="shared" si="12"/>
        <v>x3</v>
      </c>
      <c r="I32" s="85"/>
      <c r="J32" s="86"/>
      <c r="K32" s="85"/>
      <c r="L32" s="86"/>
      <c r="M32" s="31"/>
      <c r="N32" s="112"/>
      <c r="O32" s="113"/>
      <c r="P32" s="112"/>
      <c r="Q32" s="113"/>
      <c r="R32" s="112"/>
      <c r="S32" s="112"/>
      <c r="T32" s="112"/>
      <c r="U32" s="112"/>
      <c r="V32" s="112"/>
      <c r="W32" s="112"/>
      <c r="X32" s="112"/>
      <c r="Y32" s="31"/>
      <c r="Z32" s="112"/>
      <c r="AA32" s="112"/>
      <c r="AB32" s="113"/>
      <c r="AC32" s="112"/>
      <c r="AD32" s="113"/>
      <c r="AE32" s="112"/>
      <c r="AF32" s="112"/>
      <c r="AG32" s="112"/>
    </row>
    <row r="33" ht="15.75" customHeight="1">
      <c r="A33" s="215"/>
      <c r="B33" s="112"/>
      <c r="C33" s="113"/>
      <c r="D33" s="112"/>
      <c r="E33" s="113"/>
      <c r="F33" s="112"/>
      <c r="G33" s="112"/>
      <c r="H33" s="112"/>
      <c r="I33" s="112"/>
      <c r="J33" s="112"/>
      <c r="K33" s="112"/>
      <c r="L33" s="112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34" ht="15.75" customHeight="1">
      <c r="A34" s="215"/>
      <c r="B34" s="112"/>
      <c r="C34" s="113"/>
      <c r="D34" s="112"/>
      <c r="E34" s="113"/>
      <c r="F34" s="112"/>
      <c r="G34" s="112"/>
      <c r="H34" s="112"/>
      <c r="I34" s="112"/>
      <c r="J34" s="112"/>
      <c r="K34" s="112"/>
      <c r="L34" s="112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115"/>
      <c r="AA34" s="31"/>
      <c r="AB34" s="31"/>
      <c r="AC34" s="31"/>
      <c r="AD34" s="31"/>
      <c r="AE34" s="31"/>
      <c r="AF34" s="31"/>
      <c r="AG34" s="31"/>
    </row>
    <row r="35" ht="15.75" customHeight="1">
      <c r="A35" s="115" t="s">
        <v>257</v>
      </c>
      <c r="B35" s="112"/>
      <c r="C35" s="113"/>
      <c r="D35" s="112"/>
      <c r="E35" s="113"/>
      <c r="F35" s="112"/>
      <c r="G35" s="112"/>
      <c r="H35" s="112"/>
      <c r="I35" s="112"/>
      <c r="J35" s="112"/>
      <c r="K35" s="112"/>
      <c r="L35" s="112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</row>
    <row r="36" ht="15.75" customHeight="1">
      <c r="A36" s="215"/>
      <c r="B36" s="112"/>
      <c r="C36" s="113"/>
      <c r="D36" s="112"/>
      <c r="E36" s="113"/>
      <c r="F36" s="112"/>
      <c r="G36" s="112"/>
      <c r="H36" s="112"/>
      <c r="I36" s="112"/>
      <c r="J36" s="112"/>
      <c r="K36" s="112"/>
      <c r="L36" s="112"/>
      <c r="N36" s="31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31"/>
      <c r="Z36" s="61"/>
      <c r="AA36" s="31"/>
      <c r="AB36" s="112"/>
      <c r="AC36" s="112"/>
      <c r="AD36" s="112"/>
      <c r="AE36" s="112"/>
      <c r="AF36" s="112"/>
      <c r="AG36" s="112"/>
    </row>
    <row r="37" ht="15.75" customHeight="1">
      <c r="A37" s="115" t="s">
        <v>258</v>
      </c>
      <c r="B37" s="112"/>
      <c r="C37" s="113"/>
      <c r="D37" s="112"/>
      <c r="E37" s="113"/>
      <c r="F37" s="112"/>
      <c r="G37" s="112"/>
      <c r="H37" s="112"/>
      <c r="I37" s="112"/>
      <c r="J37" s="112"/>
      <c r="K37" s="112"/>
      <c r="L37" s="112"/>
      <c r="N37" s="112"/>
      <c r="O37" s="208"/>
      <c r="P37" s="112"/>
      <c r="Q37" s="208"/>
      <c r="R37" s="112"/>
      <c r="S37" s="208"/>
      <c r="T37" s="112"/>
      <c r="U37" s="208"/>
      <c r="V37" s="112"/>
      <c r="W37" s="112"/>
      <c r="X37" s="112"/>
      <c r="Y37" s="31"/>
      <c r="Z37" s="112"/>
      <c r="AA37" s="112"/>
      <c r="AB37" s="209"/>
      <c r="AC37" s="112"/>
      <c r="AD37" s="209"/>
      <c r="AE37" s="112"/>
      <c r="AF37" s="209"/>
      <c r="AG37" s="112"/>
    </row>
    <row r="38" ht="15.75" customHeight="1">
      <c r="M38" s="31"/>
      <c r="N38" s="112"/>
      <c r="O38" s="208"/>
      <c r="P38" s="112"/>
      <c r="Q38" s="208"/>
      <c r="R38" s="112"/>
      <c r="S38" s="208"/>
      <c r="T38" s="112"/>
      <c r="U38" s="208"/>
      <c r="V38" s="112"/>
      <c r="W38" s="208"/>
      <c r="X38" s="112"/>
      <c r="Y38" s="31"/>
      <c r="Z38" s="112"/>
      <c r="AA38" s="112"/>
      <c r="AB38" s="209"/>
      <c r="AC38" s="112"/>
      <c r="AD38" s="209"/>
      <c r="AE38" s="112"/>
      <c r="AF38" s="209"/>
      <c r="AG38" s="112"/>
    </row>
    <row r="39" ht="15.75" customHeight="1">
      <c r="M39" s="31"/>
      <c r="N39" s="112"/>
      <c r="O39" s="113"/>
      <c r="P39" s="112"/>
      <c r="Q39" s="113"/>
      <c r="R39" s="112"/>
      <c r="S39" s="112"/>
      <c r="T39" s="112"/>
      <c r="U39" s="112"/>
      <c r="V39" s="112"/>
      <c r="W39" s="112"/>
      <c r="X39" s="112"/>
      <c r="Y39" s="31"/>
      <c r="Z39" s="112"/>
      <c r="AA39" s="112"/>
      <c r="AB39" s="113"/>
      <c r="AC39" s="112"/>
      <c r="AD39" s="113"/>
      <c r="AE39" s="112"/>
      <c r="AF39" s="112"/>
      <c r="AG39" s="112"/>
    </row>
    <row r="40" ht="15.75" customHeight="1">
      <c r="A40" s="61" t="s">
        <v>259</v>
      </c>
      <c r="C40" s="216" t="s">
        <v>260</v>
      </c>
      <c r="D40" s="3"/>
      <c r="E40" s="217" t="s">
        <v>261</v>
      </c>
      <c r="F40" s="3"/>
      <c r="G40" s="217" t="s">
        <v>262</v>
      </c>
      <c r="H40" s="3"/>
      <c r="M40" s="31"/>
      <c r="N40" s="112"/>
      <c r="O40" s="113"/>
      <c r="P40" s="112"/>
      <c r="Q40" s="113"/>
      <c r="R40" s="112"/>
      <c r="S40" s="112"/>
      <c r="T40" s="112"/>
      <c r="U40" s="112"/>
      <c r="V40" s="112"/>
      <c r="W40" s="112"/>
      <c r="X40" s="112"/>
      <c r="Y40" s="31"/>
      <c r="Z40" s="112"/>
      <c r="AA40" s="112"/>
      <c r="AB40" s="113"/>
      <c r="AC40" s="112"/>
      <c r="AD40" s="113"/>
      <c r="AE40" s="112"/>
      <c r="AF40" s="112"/>
      <c r="AG40" s="112"/>
    </row>
    <row r="41">
      <c r="A41" s="218" t="s">
        <v>7</v>
      </c>
      <c r="B41" s="219" t="s">
        <v>38</v>
      </c>
      <c r="C41" s="220" t="s">
        <v>263</v>
      </c>
      <c r="D41" s="221"/>
      <c r="E41" s="220" t="s">
        <v>264</v>
      </c>
      <c r="F41" s="221"/>
      <c r="G41" s="220" t="s">
        <v>265</v>
      </c>
      <c r="H41" s="221"/>
      <c r="M41" s="31"/>
      <c r="N41" s="112"/>
      <c r="O41" s="113"/>
      <c r="P41" s="112"/>
      <c r="Q41" s="113"/>
      <c r="R41" s="112"/>
      <c r="S41" s="112"/>
      <c r="T41" s="112"/>
      <c r="U41" s="112"/>
      <c r="V41" s="112"/>
      <c r="W41" s="112"/>
      <c r="X41" s="112"/>
      <c r="Y41" s="31"/>
      <c r="Z41" s="112"/>
      <c r="AA41" s="112"/>
      <c r="AB41" s="113"/>
      <c r="AC41" s="112"/>
      <c r="AD41" s="113"/>
      <c r="AE41" s="112"/>
      <c r="AF41" s="112"/>
      <c r="AG41" s="112"/>
    </row>
    <row r="42">
      <c r="A42" s="222"/>
      <c r="B42" s="222"/>
      <c r="C42" s="223" t="str">
        <f>P42&amp;" to "&amp;Q42</f>
        <v>380 to 395</v>
      </c>
      <c r="D42" s="224"/>
      <c r="E42" s="223" t="str">
        <f>S42&amp;" to "&amp;T42</f>
        <v>405 to 420</v>
      </c>
      <c r="F42" s="224"/>
      <c r="G42" s="223" t="str">
        <f>V42&amp;" to "&amp;W42</f>
        <v>420 to 435</v>
      </c>
      <c r="H42" s="224"/>
      <c r="M42" s="31"/>
      <c r="N42" s="112"/>
      <c r="O42" s="113"/>
      <c r="P42" s="225">
        <f>IF(('Initial Inputs'!$F$8="kg"),MROUND(($E$5*0.9),2.5),MROUND(($E$5*0.9),5))</f>
        <v>380</v>
      </c>
      <c r="Q42" s="226">
        <f>IF(('Initial Inputs'!$F$8="kg"),MROUND(($E$5*0.94),2.5),MROUND(($E$5*0.94),5))</f>
        <v>395</v>
      </c>
      <c r="R42" s="226"/>
      <c r="S42" s="226">
        <f>IF(('Initial Inputs'!$F$8="kg"),MROUND(($E$5*0.96),2.5),MROUND(($E$5*0.96),5))</f>
        <v>405</v>
      </c>
      <c r="T42" s="226">
        <f>IF(('Initial Inputs'!$F$8="kg"),MROUND(($E$5*1),2.5),MROUND(($E$5*1),5))</f>
        <v>420</v>
      </c>
      <c r="U42" s="226"/>
      <c r="V42" s="226">
        <f>IF(('Initial Inputs'!$F$8="kg"),MROUND(($E$5*1),2.5),MROUND(($E$5*1),5))</f>
        <v>420</v>
      </c>
      <c r="W42" s="227">
        <f>IF(('Initial Inputs'!$F$8="kg"),MROUND(($E$5*1.04),2.5),MROUND(($E$5*1.04),5))</f>
        <v>435</v>
      </c>
      <c r="X42" s="112"/>
      <c r="Y42" s="31"/>
      <c r="Z42" s="112"/>
      <c r="AA42" s="112"/>
      <c r="AB42" s="113"/>
      <c r="AC42" s="112"/>
      <c r="AD42" s="113"/>
      <c r="AE42" s="112"/>
      <c r="AF42" s="112"/>
      <c r="AG42" s="112"/>
    </row>
    <row r="43" ht="15.75" customHeight="1">
      <c r="A43" s="228"/>
      <c r="B43" s="228"/>
      <c r="C43" s="229"/>
      <c r="D43" s="230"/>
      <c r="E43" s="229"/>
      <c r="F43" s="230"/>
      <c r="G43" s="229"/>
      <c r="H43" s="230"/>
      <c r="M43" s="31"/>
      <c r="N43" s="112"/>
      <c r="O43" s="113"/>
      <c r="P43" s="231"/>
      <c r="Q43" s="232"/>
      <c r="R43" s="232"/>
      <c r="S43" s="232"/>
      <c r="T43" s="232"/>
      <c r="U43" s="232"/>
      <c r="V43" s="232"/>
      <c r="W43" s="233"/>
      <c r="X43" s="112"/>
      <c r="Y43" s="31"/>
      <c r="Z43" s="112"/>
      <c r="AA43" s="112"/>
      <c r="AB43" s="113"/>
      <c r="AC43" s="112"/>
      <c r="AD43" s="113"/>
      <c r="AE43" s="112"/>
      <c r="AF43" s="112"/>
      <c r="AG43" s="112"/>
    </row>
    <row r="44" ht="15.75" customHeight="1">
      <c r="A44" s="234" t="s">
        <v>8</v>
      </c>
      <c r="B44" s="235" t="s">
        <v>38</v>
      </c>
      <c r="C44" s="236" t="s">
        <v>263</v>
      </c>
      <c r="D44" s="237"/>
      <c r="E44" s="236" t="s">
        <v>264</v>
      </c>
      <c r="F44" s="237"/>
      <c r="G44" s="236" t="s">
        <v>265</v>
      </c>
      <c r="H44" s="237"/>
      <c r="M44" s="31"/>
      <c r="N44" s="112"/>
      <c r="O44" s="113"/>
      <c r="P44" s="231"/>
      <c r="Q44" s="232"/>
      <c r="R44" s="232"/>
      <c r="S44" s="232"/>
      <c r="T44" s="232"/>
      <c r="U44" s="232"/>
      <c r="V44" s="232"/>
      <c r="W44" s="233"/>
      <c r="X44" s="112"/>
      <c r="Y44" s="31"/>
      <c r="Z44" s="112"/>
      <c r="AA44" s="112"/>
      <c r="AB44" s="113"/>
      <c r="AC44" s="112"/>
      <c r="AD44" s="113"/>
      <c r="AE44" s="112"/>
      <c r="AF44" s="112"/>
      <c r="AG44" s="112"/>
    </row>
    <row r="45" ht="15.75" customHeight="1">
      <c r="A45" s="222"/>
      <c r="B45" s="222"/>
      <c r="C45" s="238" t="str">
        <f>P45&amp;" to "&amp;Q45</f>
        <v>255 to 270</v>
      </c>
      <c r="D45" s="239"/>
      <c r="E45" s="238" t="str">
        <f>S45&amp;" to "&amp;T45</f>
        <v>275 to 285</v>
      </c>
      <c r="F45" s="239"/>
      <c r="G45" s="238" t="str">
        <f>V45&amp;" to "&amp;W45</f>
        <v>285 to 295</v>
      </c>
      <c r="H45" s="239"/>
      <c r="M45" s="31"/>
      <c r="N45" s="112"/>
      <c r="O45" s="113"/>
      <c r="P45" s="231">
        <f>IF(('Initial Inputs'!$F$8="kg"),MROUND(($E$6*0.9),2.5),MROUND(($E$6*0.9),5))</f>
        <v>255</v>
      </c>
      <c r="Q45" s="232">
        <f>IF(('Initial Inputs'!$F$8="kg"),MROUND(($E$6*0.94),2.5),MROUND(($E$6*0.94),5))</f>
        <v>270</v>
      </c>
      <c r="R45" s="232"/>
      <c r="S45" s="232">
        <f>IF(('Initial Inputs'!$F$8="kg"),MROUND(($E$6*0.96),2.5),MROUND(($E$6*0.96),5))</f>
        <v>275</v>
      </c>
      <c r="T45" s="232">
        <f>IF(('Initial Inputs'!$F$8="kg"),MROUND(($E$6*1),2.5),MROUND(($E$6*1),5))</f>
        <v>285</v>
      </c>
      <c r="U45" s="232"/>
      <c r="V45" s="232">
        <f>IF(('Initial Inputs'!$F$8="kg"),MROUND(($E$6*1),2.5),MROUND(($E$6*1),5))</f>
        <v>285</v>
      </c>
      <c r="W45" s="233">
        <f>IF(('Initial Inputs'!$F$8="kg"),MROUND(($E$6*1.04),2.5),MROUND(($E$6*1.04),5))</f>
        <v>295</v>
      </c>
      <c r="X45" s="112"/>
      <c r="Y45" s="31"/>
      <c r="Z45" s="112"/>
      <c r="AA45" s="112"/>
      <c r="AB45" s="113"/>
      <c r="AC45" s="112"/>
      <c r="AD45" s="113"/>
      <c r="AE45" s="112"/>
      <c r="AF45" s="112"/>
      <c r="AG45" s="112"/>
    </row>
    <row r="46" ht="15.75" customHeight="1">
      <c r="A46" s="228"/>
      <c r="B46" s="228"/>
      <c r="C46" s="229"/>
      <c r="D46" s="230"/>
      <c r="E46" s="229"/>
      <c r="F46" s="230"/>
      <c r="G46" s="229"/>
      <c r="H46" s="230"/>
      <c r="M46" s="31"/>
      <c r="N46" s="112"/>
      <c r="O46" s="113"/>
      <c r="P46" s="231"/>
      <c r="Q46" s="232"/>
      <c r="R46" s="232"/>
      <c r="S46" s="232"/>
      <c r="T46" s="232"/>
      <c r="U46" s="232"/>
      <c r="V46" s="232"/>
      <c r="W46" s="233"/>
      <c r="X46" s="112"/>
      <c r="Y46" s="31"/>
      <c r="Z46" s="112"/>
      <c r="AA46" s="112"/>
      <c r="AB46" s="113"/>
      <c r="AC46" s="112"/>
      <c r="AD46" s="113"/>
      <c r="AE46" s="112"/>
      <c r="AF46" s="112"/>
      <c r="AG46" s="112"/>
    </row>
    <row r="47" ht="15.75" customHeight="1">
      <c r="A47" s="234" t="s">
        <v>9</v>
      </c>
      <c r="B47" s="240" t="s">
        <v>38</v>
      </c>
      <c r="C47" s="236" t="s">
        <v>263</v>
      </c>
      <c r="D47" s="237"/>
      <c r="E47" s="236" t="s">
        <v>264</v>
      </c>
      <c r="F47" s="237"/>
      <c r="G47" s="236" t="s">
        <v>265</v>
      </c>
      <c r="H47" s="237"/>
      <c r="M47" s="31"/>
      <c r="N47" s="112"/>
      <c r="O47" s="113"/>
      <c r="P47" s="231"/>
      <c r="Q47" s="232"/>
      <c r="R47" s="232"/>
      <c r="S47" s="232"/>
      <c r="T47" s="232"/>
      <c r="U47" s="232"/>
      <c r="V47" s="232"/>
      <c r="W47" s="233"/>
      <c r="X47" s="112"/>
      <c r="Y47" s="31"/>
      <c r="Z47" s="112"/>
      <c r="AA47" s="112"/>
      <c r="AB47" s="113"/>
      <c r="AC47" s="112"/>
      <c r="AD47" s="113"/>
      <c r="AE47" s="112"/>
      <c r="AF47" s="112"/>
      <c r="AG47" s="112"/>
    </row>
    <row r="48" ht="15.75" customHeight="1">
      <c r="A48" s="222"/>
      <c r="B48" s="222"/>
      <c r="C48" s="238" t="str">
        <f>P48&amp;" to "&amp;Q48</f>
        <v>385 to 400</v>
      </c>
      <c r="D48" s="239"/>
      <c r="E48" s="238" t="str">
        <f>S48&amp;" to "&amp;T48</f>
        <v>410 to 425</v>
      </c>
      <c r="F48" s="239"/>
      <c r="G48" s="238" t="str">
        <f>V48&amp;" to "&amp;W48</f>
        <v>425 to 440</v>
      </c>
      <c r="H48" s="239"/>
      <c r="M48" s="31"/>
      <c r="N48" s="112"/>
      <c r="O48" s="113"/>
      <c r="P48" s="241">
        <f>IF(('Initial Inputs'!$F$8="kg"),MROUND(($E$7*0.9),2.5),MROUND(($E$7*0.9),5))</f>
        <v>385</v>
      </c>
      <c r="Q48" s="242">
        <f>IF(('Initial Inputs'!$F$8="kg"),MROUND(($E$7*0.94),2.5),MROUND(($E$7*0.94),5))</f>
        <v>400</v>
      </c>
      <c r="R48" s="242"/>
      <c r="S48" s="242">
        <f>IF(('Initial Inputs'!$F$8="kg"),MROUND(($E$7*0.96),2.5),MROUND(($E$7*0.96),5))</f>
        <v>410</v>
      </c>
      <c r="T48" s="242">
        <f>IF(('Initial Inputs'!$F$8="kg"),MROUND(($E$7*1),2.5),MROUND(($E$7*1),5))</f>
        <v>425</v>
      </c>
      <c r="U48" s="242"/>
      <c r="V48" s="242">
        <f>IF(('Initial Inputs'!$F$8="kg"),MROUND(($E$7*1),2.5),MROUND(($E$7*1),5))</f>
        <v>425</v>
      </c>
      <c r="W48" s="243">
        <f>IF(('Initial Inputs'!$F$8="kg"),MROUND(($E$7*1.04),2.5),MROUND(($E$7*1.04),5))</f>
        <v>440</v>
      </c>
      <c r="X48" s="112"/>
      <c r="Y48" s="31"/>
      <c r="Z48" s="112"/>
      <c r="AA48" s="112"/>
      <c r="AB48" s="113"/>
      <c r="AC48" s="112"/>
      <c r="AD48" s="113"/>
      <c r="AE48" s="112"/>
      <c r="AF48" s="112"/>
      <c r="AG48" s="112"/>
    </row>
    <row r="49">
      <c r="A49" s="244"/>
      <c r="B49" s="244"/>
      <c r="C49" s="197"/>
      <c r="D49" s="199"/>
      <c r="E49" s="197"/>
      <c r="F49" s="199"/>
      <c r="G49" s="197"/>
      <c r="H49" s="199"/>
      <c r="M49" s="31"/>
      <c r="N49" s="112"/>
      <c r="O49" s="113"/>
      <c r="P49" s="112"/>
      <c r="Q49" s="113"/>
      <c r="R49" s="112"/>
      <c r="S49" s="112"/>
      <c r="T49" s="112"/>
      <c r="U49" s="112"/>
      <c r="V49" s="112"/>
      <c r="W49" s="112"/>
      <c r="X49" s="112"/>
      <c r="Y49" s="31"/>
      <c r="Z49" s="112"/>
      <c r="AA49" s="112"/>
      <c r="AB49" s="113"/>
      <c r="AC49" s="112"/>
      <c r="AD49" s="113"/>
      <c r="AE49" s="112"/>
      <c r="AF49" s="112"/>
      <c r="AG49" s="112"/>
    </row>
    <row r="50" ht="15.75" customHeight="1">
      <c r="M50" s="31"/>
      <c r="N50" s="112"/>
      <c r="O50" s="113"/>
      <c r="P50" s="112"/>
      <c r="Q50" s="113"/>
      <c r="R50" s="112"/>
      <c r="S50" s="112"/>
      <c r="T50" s="112"/>
      <c r="U50" s="112"/>
      <c r="V50" s="112"/>
      <c r="W50" s="112"/>
      <c r="X50" s="112"/>
      <c r="Y50" s="31"/>
      <c r="Z50" s="112"/>
      <c r="AA50" s="112"/>
      <c r="AB50" s="113"/>
      <c r="AC50" s="112"/>
      <c r="AD50" s="113"/>
      <c r="AE50" s="112"/>
      <c r="AF50" s="112"/>
      <c r="AG50" s="112"/>
    </row>
    <row r="51" ht="15.75" customHeight="1">
      <c r="A51" s="245" t="s">
        <v>266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112"/>
      <c r="O51" s="113"/>
      <c r="P51" s="112"/>
      <c r="Q51" s="113"/>
      <c r="R51" s="112"/>
      <c r="S51" s="112"/>
      <c r="T51" s="112"/>
      <c r="U51" s="112"/>
      <c r="V51" s="112"/>
      <c r="W51" s="112"/>
      <c r="X51" s="112"/>
      <c r="Y51" s="31"/>
      <c r="Z51" s="112"/>
      <c r="AA51" s="112"/>
      <c r="AB51" s="113"/>
      <c r="AC51" s="112"/>
      <c r="AD51" s="113"/>
      <c r="AE51" s="112"/>
      <c r="AF51" s="112"/>
      <c r="AG51" s="112"/>
    </row>
    <row r="52" ht="15.75" customHeight="1">
      <c r="A52" s="246" t="s">
        <v>267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112"/>
      <c r="O52" s="113"/>
      <c r="P52" s="112"/>
      <c r="Q52" s="113"/>
      <c r="R52" s="112"/>
      <c r="S52" s="112"/>
      <c r="T52" s="112"/>
      <c r="U52" s="112"/>
      <c r="V52" s="112"/>
      <c r="W52" s="112"/>
      <c r="X52" s="112"/>
      <c r="Y52" s="31"/>
      <c r="Z52" s="112"/>
      <c r="AA52" s="112"/>
      <c r="AB52" s="113"/>
      <c r="AC52" s="112"/>
      <c r="AD52" s="113"/>
      <c r="AE52" s="112"/>
      <c r="AF52" s="112"/>
      <c r="AG52" s="112"/>
    </row>
    <row r="53" ht="15.75" customHeight="1">
      <c r="A53" s="247" t="s">
        <v>268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N53" s="112"/>
      <c r="O53" s="113"/>
      <c r="P53" s="112"/>
      <c r="Q53" s="113"/>
      <c r="R53" s="112"/>
      <c r="S53" s="112"/>
      <c r="T53" s="112"/>
      <c r="U53" s="112"/>
      <c r="V53" s="112"/>
      <c r="W53" s="112"/>
      <c r="X53" s="112"/>
      <c r="Y53" s="31"/>
      <c r="Z53" s="112"/>
      <c r="AA53" s="112"/>
      <c r="AB53" s="113"/>
      <c r="AC53" s="112"/>
      <c r="AD53" s="113"/>
      <c r="AE53" s="112"/>
      <c r="AF53" s="112"/>
      <c r="AG53" s="112"/>
    </row>
    <row r="54" ht="15.75" customHeight="1">
      <c r="A54" s="61"/>
      <c r="B54" s="31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</row>
    <row r="55" ht="15.75" customHeight="1">
      <c r="A55" s="215"/>
      <c r="B55" s="112"/>
      <c r="C55" s="208"/>
      <c r="D55" s="112"/>
      <c r="E55" s="208"/>
      <c r="F55" s="112"/>
      <c r="G55" s="208"/>
      <c r="H55" s="112"/>
      <c r="I55" s="112"/>
      <c r="J55" s="112"/>
      <c r="K55" s="112"/>
      <c r="L55" s="112"/>
      <c r="N55" s="31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31"/>
      <c r="Z55" s="61"/>
      <c r="AA55" s="31"/>
      <c r="AB55" s="112"/>
      <c r="AC55" s="112"/>
      <c r="AD55" s="112"/>
      <c r="AE55" s="112"/>
      <c r="AF55" s="112"/>
      <c r="AG55" s="112"/>
    </row>
    <row r="56" ht="15.75" customHeight="1">
      <c r="A56" s="215"/>
      <c r="B56" s="112"/>
      <c r="C56" s="208"/>
      <c r="D56" s="112"/>
      <c r="E56" s="208"/>
      <c r="F56" s="112"/>
      <c r="G56" s="208"/>
      <c r="H56" s="112"/>
      <c r="I56" s="208"/>
      <c r="J56" s="112"/>
      <c r="K56" s="112"/>
      <c r="L56" s="112"/>
      <c r="N56" s="112"/>
      <c r="O56" s="208"/>
      <c r="P56" s="112"/>
      <c r="Q56" s="208"/>
      <c r="R56" s="112"/>
      <c r="S56" s="208"/>
      <c r="T56" s="112"/>
      <c r="U56" s="208"/>
      <c r="V56" s="112"/>
      <c r="W56" s="208"/>
      <c r="X56" s="112"/>
      <c r="Y56" s="31"/>
      <c r="Z56" s="112"/>
      <c r="AA56" s="112"/>
      <c r="AB56" s="209"/>
      <c r="AC56" s="112"/>
      <c r="AD56" s="209"/>
      <c r="AE56" s="112"/>
      <c r="AF56" s="209"/>
      <c r="AG56" s="112"/>
    </row>
    <row r="57" ht="15.75" customHeight="1">
      <c r="A57" s="215"/>
      <c r="B57" s="112"/>
      <c r="C57" s="113"/>
      <c r="D57" s="112"/>
      <c r="E57" s="113"/>
      <c r="F57" s="112"/>
      <c r="G57" s="112"/>
      <c r="H57" s="112"/>
      <c r="I57" s="112"/>
      <c r="J57" s="112"/>
      <c r="K57" s="112"/>
      <c r="L57" s="112"/>
      <c r="M57" s="31"/>
      <c r="N57" s="112"/>
      <c r="O57" s="113"/>
      <c r="P57" s="112"/>
      <c r="Q57" s="113"/>
      <c r="R57" s="112"/>
      <c r="S57" s="112"/>
      <c r="T57" s="112"/>
      <c r="U57" s="112"/>
      <c r="V57" s="112"/>
      <c r="W57" s="112"/>
      <c r="X57" s="112"/>
      <c r="Y57" s="31"/>
      <c r="Z57" s="112"/>
      <c r="AA57" s="112"/>
      <c r="AB57" s="113"/>
      <c r="AC57" s="112"/>
      <c r="AD57" s="113"/>
      <c r="AE57" s="112"/>
      <c r="AF57" s="112"/>
      <c r="AG57" s="112"/>
    </row>
    <row r="58" ht="15.75" customHeight="1">
      <c r="A58" s="215"/>
      <c r="B58" s="112"/>
      <c r="C58" s="113"/>
      <c r="D58" s="112"/>
      <c r="E58" s="113"/>
      <c r="F58" s="112"/>
      <c r="G58" s="112"/>
      <c r="H58" s="112"/>
      <c r="I58" s="112"/>
      <c r="J58" s="112"/>
      <c r="K58" s="112"/>
      <c r="L58" s="112"/>
      <c r="M58" s="31"/>
      <c r="N58" s="112"/>
      <c r="O58" s="113"/>
      <c r="P58" s="112"/>
      <c r="Q58" s="113"/>
      <c r="R58" s="112"/>
      <c r="S58" s="112"/>
      <c r="T58" s="112"/>
      <c r="U58" s="112"/>
      <c r="V58" s="112"/>
      <c r="W58" s="112"/>
      <c r="X58" s="112"/>
      <c r="Y58" s="31"/>
      <c r="Z58" s="112"/>
      <c r="AA58" s="112"/>
      <c r="AB58" s="113"/>
      <c r="AC58" s="112"/>
      <c r="AD58" s="113"/>
      <c r="AE58" s="112"/>
      <c r="AF58" s="112"/>
      <c r="AG58" s="112"/>
    </row>
    <row r="59" ht="15.75" customHeight="1">
      <c r="A59" s="215"/>
      <c r="B59" s="112"/>
      <c r="C59" s="113"/>
      <c r="D59" s="112"/>
      <c r="E59" s="113"/>
      <c r="F59" s="112"/>
      <c r="G59" s="112"/>
      <c r="H59" s="112"/>
      <c r="I59" s="112"/>
      <c r="J59" s="112"/>
      <c r="K59" s="112"/>
      <c r="L59" s="112"/>
      <c r="M59" s="31"/>
      <c r="N59" s="112"/>
      <c r="O59" s="113"/>
      <c r="P59" s="112"/>
      <c r="Q59" s="113"/>
      <c r="R59" s="112"/>
      <c r="S59" s="112"/>
      <c r="T59" s="112"/>
      <c r="U59" s="112"/>
      <c r="V59" s="112"/>
      <c r="W59" s="112"/>
      <c r="X59" s="112"/>
      <c r="Y59" s="31"/>
      <c r="Z59" s="112"/>
      <c r="AA59" s="112"/>
      <c r="AB59" s="113"/>
      <c r="AC59" s="112"/>
      <c r="AD59" s="113"/>
      <c r="AE59" s="112"/>
      <c r="AF59" s="112"/>
      <c r="AG59" s="112"/>
    </row>
    <row r="60" ht="15.75" customHeight="1">
      <c r="A60" s="215"/>
      <c r="B60" s="112"/>
      <c r="C60" s="113"/>
      <c r="D60" s="112"/>
      <c r="E60" s="113"/>
      <c r="F60" s="112"/>
      <c r="G60" s="112"/>
      <c r="H60" s="112"/>
      <c r="I60" s="112"/>
      <c r="J60" s="112"/>
      <c r="K60" s="112"/>
      <c r="L60" s="112"/>
      <c r="M60" s="31"/>
      <c r="N60" s="112"/>
      <c r="O60" s="113"/>
      <c r="P60" s="112"/>
      <c r="Q60" s="113"/>
      <c r="R60" s="112"/>
      <c r="S60" s="112"/>
      <c r="T60" s="112"/>
      <c r="U60" s="112"/>
      <c r="V60" s="112"/>
      <c r="W60" s="112"/>
      <c r="X60" s="112"/>
      <c r="Y60" s="31"/>
      <c r="Z60" s="112"/>
      <c r="AA60" s="112"/>
      <c r="AB60" s="113"/>
      <c r="AC60" s="112"/>
      <c r="AD60" s="113"/>
      <c r="AE60" s="112"/>
      <c r="AF60" s="112"/>
      <c r="AG60" s="112"/>
    </row>
    <row r="61" ht="15.75" customHeight="1">
      <c r="A61" s="215"/>
      <c r="B61" s="112"/>
      <c r="C61" s="113"/>
      <c r="D61" s="112"/>
      <c r="E61" s="113"/>
      <c r="F61" s="112"/>
      <c r="G61" s="112"/>
      <c r="H61" s="112"/>
      <c r="I61" s="112"/>
      <c r="J61" s="112"/>
      <c r="K61" s="112"/>
      <c r="L61" s="112"/>
      <c r="M61" s="31"/>
      <c r="N61" s="112"/>
      <c r="O61" s="113"/>
      <c r="P61" s="112"/>
      <c r="Q61" s="113"/>
      <c r="R61" s="112"/>
      <c r="S61" s="112"/>
      <c r="T61" s="112"/>
      <c r="U61" s="112"/>
      <c r="V61" s="112"/>
      <c r="W61" s="112"/>
      <c r="X61" s="112"/>
      <c r="Y61" s="31"/>
      <c r="Z61" s="112"/>
      <c r="AA61" s="112"/>
      <c r="AB61" s="113"/>
      <c r="AC61" s="112"/>
      <c r="AD61" s="113"/>
      <c r="AE61" s="112"/>
      <c r="AF61" s="112"/>
      <c r="AG61" s="112"/>
    </row>
    <row r="62" ht="15.75" customHeight="1">
      <c r="A62" s="215"/>
      <c r="B62" s="112"/>
      <c r="C62" s="113"/>
      <c r="D62" s="112"/>
      <c r="E62" s="113"/>
      <c r="F62" s="112"/>
      <c r="G62" s="112"/>
      <c r="H62" s="112"/>
      <c r="I62" s="112"/>
      <c r="J62" s="112"/>
      <c r="K62" s="112"/>
      <c r="L62" s="112"/>
      <c r="M62" s="31"/>
      <c r="N62" s="112"/>
      <c r="O62" s="113"/>
      <c r="P62" s="112"/>
      <c r="Q62" s="113"/>
      <c r="R62" s="112"/>
      <c r="S62" s="112"/>
      <c r="T62" s="112"/>
      <c r="U62" s="112"/>
      <c r="V62" s="112"/>
      <c r="W62" s="112"/>
      <c r="X62" s="112"/>
      <c r="Y62" s="31"/>
      <c r="Z62" s="112"/>
      <c r="AA62" s="112"/>
      <c r="AB62" s="113"/>
      <c r="AC62" s="112"/>
      <c r="AD62" s="113"/>
      <c r="AE62" s="112"/>
      <c r="AF62" s="112"/>
      <c r="AG62" s="112"/>
    </row>
    <row r="63" ht="15.75" customHeight="1">
      <c r="A63" s="215"/>
      <c r="B63" s="112"/>
      <c r="C63" s="113"/>
      <c r="D63" s="112"/>
      <c r="E63" s="113"/>
      <c r="F63" s="112"/>
      <c r="G63" s="112"/>
      <c r="H63" s="112"/>
      <c r="I63" s="112"/>
      <c r="J63" s="112"/>
      <c r="K63" s="112"/>
      <c r="L63" s="112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</row>
    <row r="64" ht="15.75" customHeight="1">
      <c r="A64" s="215"/>
      <c r="B64" s="112"/>
      <c r="C64" s="113"/>
      <c r="D64" s="112"/>
      <c r="E64" s="113"/>
      <c r="F64" s="112"/>
      <c r="G64" s="112"/>
      <c r="H64" s="112"/>
      <c r="I64" s="112"/>
      <c r="J64" s="112"/>
      <c r="K64" s="112"/>
      <c r="L64" s="112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115"/>
      <c r="AA64" s="31"/>
      <c r="AB64" s="31"/>
      <c r="AC64" s="31"/>
      <c r="AD64" s="31"/>
      <c r="AE64" s="31"/>
      <c r="AF64" s="31"/>
      <c r="AG64" s="31"/>
    </row>
    <row r="65" ht="15.75" customHeight="1">
      <c r="A65" s="112"/>
      <c r="B65" s="112"/>
      <c r="C65" s="113"/>
      <c r="D65" s="112"/>
      <c r="E65" s="113"/>
      <c r="F65" s="112"/>
      <c r="G65" s="112"/>
      <c r="H65" s="112"/>
      <c r="I65" s="112"/>
      <c r="J65" s="112"/>
      <c r="K65" s="112"/>
      <c r="L65" s="112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</row>
    <row r="67" ht="15.75" customHeight="1">
      <c r="A67" s="61"/>
      <c r="B67" s="31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N67" s="248"/>
      <c r="S67" s="121"/>
      <c r="T67" s="121"/>
      <c r="U67" s="31"/>
      <c r="V67" s="31"/>
      <c r="W67" s="31"/>
      <c r="X67" s="31"/>
      <c r="Y67" s="31"/>
      <c r="Z67" s="31"/>
      <c r="AA67" s="248"/>
      <c r="AF67" s="31"/>
      <c r="AG67" s="31"/>
    </row>
    <row r="68" ht="15.75" customHeight="1">
      <c r="A68" s="215"/>
      <c r="B68" s="112"/>
      <c r="C68" s="208"/>
      <c r="D68" s="112"/>
      <c r="E68" s="208"/>
      <c r="F68" s="112"/>
      <c r="G68" s="208"/>
      <c r="H68" s="112"/>
      <c r="I68" s="208"/>
      <c r="J68" s="112"/>
      <c r="K68" s="112"/>
      <c r="L68" s="112"/>
      <c r="N68" s="112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112"/>
      <c r="AB68" s="31"/>
      <c r="AC68" s="31"/>
      <c r="AD68" s="31"/>
      <c r="AE68" s="31"/>
      <c r="AF68" s="31"/>
      <c r="AG68" s="31"/>
    </row>
    <row r="69" ht="15.75" customHeight="1">
      <c r="A69" s="215"/>
      <c r="B69" s="112"/>
      <c r="C69" s="113"/>
      <c r="D69" s="112"/>
      <c r="E69" s="113"/>
      <c r="F69" s="112"/>
      <c r="G69" s="112"/>
      <c r="H69" s="112"/>
      <c r="I69" s="112"/>
      <c r="J69" s="112"/>
      <c r="K69" s="112"/>
      <c r="L69" s="112"/>
      <c r="N69" s="249"/>
      <c r="O69" s="249"/>
      <c r="P69" s="249"/>
      <c r="Q69" s="249"/>
      <c r="R69" s="129"/>
      <c r="S69" s="31"/>
      <c r="T69" s="31"/>
      <c r="U69" s="31"/>
      <c r="V69" s="31"/>
      <c r="W69" s="31"/>
      <c r="X69" s="31"/>
      <c r="Y69" s="31"/>
      <c r="Z69" s="250"/>
      <c r="AA69" s="249"/>
      <c r="AB69" s="249"/>
      <c r="AC69" s="249"/>
      <c r="AD69" s="249"/>
      <c r="AE69" s="129"/>
      <c r="AF69" s="31"/>
      <c r="AG69" s="31"/>
    </row>
    <row r="70" ht="22.5" customHeight="1">
      <c r="A70" s="215"/>
      <c r="B70" s="112"/>
      <c r="C70" s="113"/>
      <c r="D70" s="112"/>
      <c r="E70" s="113"/>
      <c r="F70" s="112"/>
      <c r="G70" s="112"/>
      <c r="H70" s="112"/>
      <c r="I70" s="112"/>
      <c r="J70" s="112"/>
      <c r="K70" s="112"/>
      <c r="L70" s="112"/>
      <c r="N70" s="208"/>
      <c r="O70" s="208"/>
      <c r="P70" s="208"/>
      <c r="Q70" s="208"/>
      <c r="R70" s="208"/>
      <c r="S70" s="31"/>
      <c r="T70" s="31"/>
      <c r="U70" s="31"/>
      <c r="V70" s="31"/>
      <c r="W70" s="31"/>
      <c r="X70" s="31"/>
      <c r="Y70" s="31"/>
      <c r="Z70" s="251"/>
      <c r="AA70" s="169"/>
      <c r="AB70" s="169"/>
      <c r="AC70" s="169"/>
      <c r="AD70" s="169"/>
      <c r="AE70" s="169"/>
      <c r="AF70" s="31"/>
      <c r="AG70" s="31"/>
    </row>
    <row r="71" ht="15.75" customHeight="1">
      <c r="A71" s="215"/>
      <c r="B71" s="112"/>
      <c r="C71" s="113"/>
      <c r="D71" s="112"/>
      <c r="E71" s="113"/>
      <c r="F71" s="112"/>
      <c r="G71" s="112"/>
      <c r="H71" s="112"/>
      <c r="I71" s="112"/>
      <c r="J71" s="112"/>
      <c r="K71" s="112"/>
      <c r="L71" s="112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ht="15.75" customHeight="1">
      <c r="A72" s="215"/>
      <c r="B72" s="112"/>
      <c r="C72" s="113"/>
      <c r="D72" s="112"/>
      <c r="E72" s="113"/>
      <c r="F72" s="112"/>
      <c r="G72" s="112"/>
      <c r="H72" s="112"/>
      <c r="I72" s="112"/>
      <c r="J72" s="112"/>
      <c r="K72" s="112"/>
      <c r="L72" s="112"/>
      <c r="N72" s="249"/>
      <c r="O72" s="249"/>
      <c r="P72" s="249"/>
      <c r="Q72" s="249"/>
      <c r="R72" s="129"/>
      <c r="S72" s="31"/>
      <c r="T72" s="31"/>
      <c r="U72" s="31"/>
      <c r="V72" s="31"/>
      <c r="W72" s="31"/>
      <c r="X72" s="31"/>
      <c r="Y72" s="31"/>
      <c r="Z72" s="250"/>
      <c r="AA72" s="249"/>
      <c r="AB72" s="249"/>
      <c r="AC72" s="249"/>
      <c r="AD72" s="249"/>
      <c r="AE72" s="129"/>
      <c r="AF72" s="31"/>
      <c r="AG72" s="31"/>
    </row>
    <row r="73" ht="22.5" customHeight="1">
      <c r="A73" s="215"/>
      <c r="B73" s="112"/>
      <c r="C73" s="113"/>
      <c r="D73" s="112"/>
      <c r="E73" s="113"/>
      <c r="F73" s="112"/>
      <c r="G73" s="112"/>
      <c r="H73" s="112"/>
      <c r="I73" s="112"/>
      <c r="J73" s="112"/>
      <c r="K73" s="112"/>
      <c r="L73" s="112"/>
      <c r="N73" s="132"/>
      <c r="O73" s="132"/>
      <c r="P73" s="132"/>
      <c r="Q73" s="132"/>
      <c r="R73" s="132"/>
      <c r="S73" s="31"/>
      <c r="T73" s="31"/>
      <c r="U73" s="31"/>
      <c r="V73" s="31"/>
      <c r="W73" s="31"/>
      <c r="X73" s="31"/>
      <c r="Y73" s="31"/>
      <c r="Z73" s="251"/>
      <c r="AA73" s="169"/>
      <c r="AB73" s="169"/>
      <c r="AC73" s="169"/>
      <c r="AD73" s="169"/>
      <c r="AE73" s="169"/>
      <c r="AF73" s="31"/>
      <c r="AG73" s="31"/>
    </row>
    <row r="74" ht="15.75" customHeight="1">
      <c r="A74" s="215"/>
      <c r="B74" s="112"/>
      <c r="C74" s="113"/>
      <c r="D74" s="112"/>
      <c r="E74" s="113"/>
      <c r="F74" s="112"/>
      <c r="G74" s="112"/>
      <c r="H74" s="112"/>
      <c r="I74" s="112"/>
      <c r="J74" s="112"/>
      <c r="K74" s="112"/>
      <c r="L74" s="112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N75" s="249"/>
      <c r="O75" s="249"/>
      <c r="P75" s="249"/>
      <c r="Q75" s="249"/>
      <c r="R75" s="129"/>
      <c r="S75" s="31"/>
      <c r="T75" s="31"/>
      <c r="U75" s="31"/>
      <c r="V75" s="31"/>
      <c r="W75" s="31"/>
      <c r="X75" s="31"/>
      <c r="Y75" s="31"/>
      <c r="Z75" s="250"/>
      <c r="AA75" s="249"/>
      <c r="AB75" s="249"/>
      <c r="AC75" s="249"/>
      <c r="AD75" s="249"/>
      <c r="AE75" s="129"/>
      <c r="AF75" s="31"/>
      <c r="AG75" s="31"/>
    </row>
    <row r="76" ht="22.5" customHeight="1">
      <c r="A76" s="115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N76" s="132"/>
      <c r="O76" s="132"/>
      <c r="P76" s="132"/>
      <c r="Q76" s="132"/>
      <c r="R76" s="132"/>
      <c r="S76" s="31"/>
      <c r="T76" s="31"/>
      <c r="U76" s="31"/>
      <c r="V76" s="31"/>
      <c r="W76" s="31"/>
      <c r="X76" s="31"/>
      <c r="Y76" s="31"/>
      <c r="Z76" s="251"/>
      <c r="AA76" s="169"/>
      <c r="AB76" s="169"/>
      <c r="AC76" s="169"/>
      <c r="AD76" s="169"/>
      <c r="AE76" s="169"/>
      <c r="AF76" s="31"/>
      <c r="AG76" s="31"/>
    </row>
    <row r="77" ht="15.75" customHeight="1"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 ht="15.75" customHeight="1"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61"/>
      <c r="AA78" s="31"/>
      <c r="AB78" s="31"/>
      <c r="AC78" s="31"/>
      <c r="AD78" s="31"/>
      <c r="AE78" s="31"/>
      <c r="AF78" s="31"/>
      <c r="AG78" s="31"/>
    </row>
    <row r="79" ht="15.75" customHeight="1"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61"/>
      <c r="AA79" s="31"/>
      <c r="AB79" s="31"/>
      <c r="AC79" s="31"/>
      <c r="AD79" s="31"/>
      <c r="AE79" s="31"/>
      <c r="AF79" s="31"/>
      <c r="AG79" s="31"/>
    </row>
    <row r="80" ht="15.75" customHeight="1"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61"/>
      <c r="AA80" s="31"/>
      <c r="AB80" s="31"/>
      <c r="AC80" s="31"/>
      <c r="AD80" s="31"/>
      <c r="AE80" s="31"/>
      <c r="AF80" s="31"/>
      <c r="AG80" s="31"/>
    </row>
    <row r="81" ht="15.75" customHeight="1"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L2"/>
    <mergeCell ref="C4:E4"/>
    <mergeCell ref="AB4:AD4"/>
    <mergeCell ref="G5:L5"/>
    <mergeCell ref="AF5:AG5"/>
    <mergeCell ref="G6:L6"/>
    <mergeCell ref="AF6:AG6"/>
    <mergeCell ref="C40:D40"/>
    <mergeCell ref="E40:F40"/>
    <mergeCell ref="G40:H40"/>
    <mergeCell ref="A41:A43"/>
    <mergeCell ref="B41:B43"/>
    <mergeCell ref="E41:F41"/>
    <mergeCell ref="G41:H41"/>
    <mergeCell ref="C45:D46"/>
    <mergeCell ref="C47:D47"/>
    <mergeCell ref="C41:D41"/>
    <mergeCell ref="C42:D43"/>
    <mergeCell ref="A44:A46"/>
    <mergeCell ref="B44:B46"/>
    <mergeCell ref="C44:D44"/>
    <mergeCell ref="A47:A49"/>
    <mergeCell ref="B47:B49"/>
    <mergeCell ref="C48:D49"/>
    <mergeCell ref="E47:F47"/>
    <mergeCell ref="E48:F49"/>
    <mergeCell ref="G48:H49"/>
    <mergeCell ref="N67:R67"/>
    <mergeCell ref="AA67:AE67"/>
    <mergeCell ref="E42:F43"/>
    <mergeCell ref="G42:H43"/>
    <mergeCell ref="E44:F44"/>
    <mergeCell ref="G44:H44"/>
    <mergeCell ref="E45:F46"/>
    <mergeCell ref="G45:H46"/>
    <mergeCell ref="G47:H47"/>
  </mergeCells>
  <printOptions/>
  <pageMargins bottom="0.75" footer="0.0" header="0.0" left="0.7" right="0.7" top="0.75"/>
  <pageSetup orientation="landscape"/>
  <drawing r:id="rId2"/>
  <legacyDrawing r:id="rId3"/>
</worksheet>
</file>